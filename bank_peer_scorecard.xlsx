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obce\Desktop\"/>
    </mc:Choice>
  </mc:AlternateContent>
  <xr:revisionPtr revIDLastSave="0" documentId="13_ncr:1_{C514E7DF-EBCD-45BC-9C4F-EDF2B3F0BF19}" xr6:coauthVersionLast="47" xr6:coauthVersionMax="47" xr10:uidLastSave="{00000000-0000-0000-0000-000000000000}"/>
  <bookViews>
    <workbookView xWindow="-120" yWindow="-120" windowWidth="29040" windowHeight="15840" xr2:uid="{C36E6221-7E4D-4411-8EEE-7FE1A0061435}"/>
  </bookViews>
  <sheets>
    <sheet name="Scorecard" sheetId="7" r:id="rId1"/>
    <sheet name="bank_financials_wide_full" sheetId="3" r:id="rId2"/>
    <sheet name="bank_financials_long" sheetId="2" r:id="rId3"/>
  </sheets>
  <definedNames>
    <definedName name="ExternalData_1" localSheetId="2" hidden="1">bank_financials_long!$A$1:$K$89</definedName>
    <definedName name="Slicer_company">#N/A</definedName>
    <definedName name="Slicer_fiscal_year1">#N/A</definedName>
  </definedNames>
  <calcPr calcId="191029"/>
  <pivotCaches>
    <pivotCache cacheId="38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5" i="3" l="1"/>
  <c r="C9" i="7" a="1"/>
  <c r="B9" i="7" a="1"/>
  <c r="C8" i="7" a="1"/>
  <c r="B8" i="7" a="1"/>
  <c r="C7" i="7" a="1"/>
  <c r="B7" i="7" a="1"/>
  <c r="C6" i="7" a="1"/>
  <c r="B6" i="7" a="1"/>
  <c r="C5" i="7" a="1"/>
  <c r="B5" i="7" a="1"/>
  <c r="C4" i="7" a="1"/>
  <c r="B4" i="7" a="1"/>
  <c r="G28" i="3"/>
  <c r="G27" i="3"/>
  <c r="G26" i="3"/>
  <c r="G25" i="3"/>
  <c r="G24" i="3"/>
  <c r="G23" i="3"/>
  <c r="G22" i="3"/>
  <c r="G21" i="3"/>
  <c r="G20" i="3"/>
  <c r="G19" i="3"/>
  <c r="G18" i="3"/>
  <c r="G17" i="3"/>
  <c r="G16" i="3"/>
  <c r="G15" i="3"/>
  <c r="G14" i="3"/>
  <c r="G13" i="3"/>
  <c r="G12" i="3"/>
  <c r="G11" i="3"/>
  <c r="G10" i="3"/>
  <c r="G9" i="3"/>
  <c r="G8" i="3"/>
  <c r="G7" i="3"/>
  <c r="G6" i="3"/>
  <c r="G5" i="3"/>
  <c r="F28" i="3"/>
  <c r="F27" i="3"/>
  <c r="F26" i="3"/>
  <c r="F25" i="3"/>
  <c r="F24" i="3"/>
  <c r="F23" i="3"/>
  <c r="F22" i="3"/>
  <c r="F21" i="3"/>
  <c r="F20" i="3"/>
  <c r="F19" i="3"/>
  <c r="F18" i="3"/>
  <c r="F17" i="3"/>
  <c r="F16" i="3"/>
  <c r="F15" i="3"/>
  <c r="F14" i="3"/>
  <c r="F13" i="3"/>
  <c r="F12" i="3"/>
  <c r="F11" i="3"/>
  <c r="F10" i="3"/>
  <c r="F9" i="3"/>
  <c r="F8" i="3"/>
  <c r="F7" i="3"/>
  <c r="F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F34391-BE3E-4791-ACEF-64F530CC61C9}" keepAlive="1" name="Query - bank_financials_long" description="Connection to the 'bank_financials_long' query in the workbook." type="5" refreshedVersion="8" background="1" saveData="1">
    <dbPr connection="Provider=Microsoft.Mashup.OleDb.1;Data Source=$Workbook$;Location=bank_financials_long;Extended Properties=&quot;&quot;" command="SELECT * FROM [bank_financials_long]"/>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<sst xmlns="http://schemas.openxmlformats.org/spreadsheetml/2006/main" count="494" uniqueCount="60">
  <si>
    <t>company</t>
  </si>
  <si>
    <t>cik</t>
  </si>
  <si>
    <t>ticker</t>
  </si>
  <si>
    <t>fiscal_year</t>
  </si>
  <si>
    <t>concept</t>
  </si>
  <si>
    <t>value</t>
  </si>
  <si>
    <t>source_tag</t>
  </si>
  <si>
    <t>end_date</t>
  </si>
  <si>
    <t>filed</t>
  </si>
  <si>
    <t>accn</t>
  </si>
  <si>
    <t>sec_fy</t>
  </si>
  <si>
    <t>FIRST CITIZENS BANCSHARES INC /DE/</t>
  </si>
  <si>
    <t>FCNCA</t>
  </si>
  <si>
    <t>Assets</t>
  </si>
  <si>
    <t>0000798941-26-000015</t>
  </si>
  <si>
    <t>Liabilities</t>
  </si>
  <si>
    <t>Equity</t>
  </si>
  <si>
    <t>StockholdersEquity</t>
  </si>
  <si>
    <t>NetIncome</t>
  </si>
  <si>
    <t>NetIncomeLoss</t>
  </si>
  <si>
    <t>M&amp;T BANK CORPORATION</t>
  </si>
  <si>
    <t>MTB</t>
  </si>
  <si>
    <t>0000036270-26-000010</t>
  </si>
  <si>
    <t>Fifth Third Bancorp</t>
  </si>
  <si>
    <t>FITB</t>
  </si>
  <si>
    <t>0000035527-26-000124</t>
  </si>
  <si>
    <t>Huntington Bancshares Incorporated</t>
  </si>
  <si>
    <t>HBAN</t>
  </si>
  <si>
    <t>0000049196-26-000015</t>
  </si>
  <si>
    <t>StockholdersEquityIncludingPortionAttributableToNoncontrollingInterest</t>
  </si>
  <si>
    <t>Regions Financial Corporation</t>
  </si>
  <si>
    <t>RF</t>
  </si>
  <si>
    <t>0001281761-26-000019</t>
  </si>
  <si>
    <t>KEYCORP /NEW/</t>
  </si>
  <si>
    <t>KEY</t>
  </si>
  <si>
    <t>0001628280-26-010546</t>
  </si>
  <si>
    <t>CITIZENS FINANCIAL GROUP INC/RI</t>
  </si>
  <si>
    <t>CFG</t>
  </si>
  <si>
    <t>0000759944-26-000028</t>
  </si>
  <si>
    <t>ZIONS BANCORPORATION, NATIONAL ASSOCIATION</t>
  </si>
  <si>
    <t>ZION</t>
  </si>
  <si>
    <t>0000109380-26-000046</t>
  </si>
  <si>
    <t>WESTERN ALLIANCE BANCORPORATION</t>
  </si>
  <si>
    <t>WAL</t>
  </si>
  <si>
    <t>0001628280-26-010336</t>
  </si>
  <si>
    <t>EAST WEST BANCORP INC</t>
  </si>
  <si>
    <t>EWBC</t>
  </si>
  <si>
    <t>0001069157-26-000009</t>
  </si>
  <si>
    <t>WEBSTER FINANCIAL CORPORATION</t>
  </si>
  <si>
    <t>WBS</t>
  </si>
  <si>
    <t>0000801337-26-000008</t>
  </si>
  <si>
    <t>Row Labels</t>
  </si>
  <si>
    <t>2024</t>
  </si>
  <si>
    <t>2025</t>
  </si>
  <si>
    <t>Column Labels</t>
  </si>
  <si>
    <t>Select Peer Bank:</t>
  </si>
  <si>
    <t>ROA</t>
  </si>
  <si>
    <t>Leverage Ratio</t>
  </si>
  <si>
    <t>Bank Financials Wide</t>
  </si>
  <si>
    <t>Select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</si>
</sst>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8" formatCode="0.00\x"/>
    <numFmt numFmtId="169" formatCode="&quot;$&quot;0.00,,,&quot;B&quot;"/>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b/>
      <sz val="11"/>
      <color rgb="FF1F1F1F"/>
      <name val="Aptos Narrow"/>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4" tint="0.39997558519241921"/>
        <bgColor indexed="64"/>
      </patternFill>
    </fill>
    <fill>
      <patternFill patternType="solid">
        <fgColor rgb="FF66CCFF"/>
        <bgColor indexed="64"/>
      </patternFill>
    </fill>
    <fill>
      <patternFill patternType="solid">
        <fgColor theme="3"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34">
    <xf numFmtId="0" fontId="0" fillId="0" borderId="0" xfId="0"/>
    <xf numFmtId="0" fontId="0" fillId="0" borderId="0" xfId="0" applyNumberFormat="1"/>
    <xf numFmtId="14" fontId="0" fillId="0" borderId="0" xfId="0" applyNumberFormat="1"/>
    <xf numFmtId="0" fontId="0" fillId="0" borderId="0" xfId="0" applyAlignment="1">
      <alignment horizontal="left" indent="1"/>
    </xf>
    <xf numFmtId="44" fontId="0" fillId="0" borderId="0" xfId="1" applyFont="1"/>
    <xf numFmtId="0" fontId="0" fillId="2" borderId="0" xfId="0" applyFill="1" applyAlignment="1">
      <alignment horizontal="left" indent="1"/>
    </xf>
    <xf numFmtId="0" fontId="0" fillId="0" borderId="0" xfId="0" applyFill="1" applyBorder="1"/>
    <xf numFmtId="0" fontId="0" fillId="0" borderId="0" xfId="0" applyFill="1"/>
    <xf numFmtId="0" fontId="2" fillId="0" borderId="0" xfId="0" applyFont="1" applyFill="1" applyBorder="1"/>
    <xf numFmtId="0" fontId="0" fillId="0" borderId="0" xfId="0" applyBorder="1"/>
    <xf numFmtId="168" fontId="0" fillId="0" borderId="0" xfId="0" applyNumberFormat="1"/>
    <xf numFmtId="10" fontId="0" fillId="0" borderId="0" xfId="0" applyNumberFormat="1"/>
    <xf numFmtId="0" fontId="0" fillId="4" borderId="0" xfId="0" applyFill="1"/>
    <xf numFmtId="0" fontId="0" fillId="5" borderId="0" xfId="0" applyFill="1" applyAlignment="1">
      <alignment horizontal="left"/>
    </xf>
    <xf numFmtId="168" fontId="0" fillId="5" borderId="0" xfId="0" applyNumberFormat="1" applyFill="1"/>
    <xf numFmtId="10" fontId="0" fillId="5" borderId="0" xfId="0" applyNumberFormat="1" applyFill="1"/>
    <xf numFmtId="0" fontId="3" fillId="4" borderId="0" xfId="0" applyFont="1" applyFill="1" applyAlignment="1">
      <alignment horizontal="center"/>
    </xf>
    <xf numFmtId="168" fontId="0" fillId="2" borderId="0" xfId="0" applyNumberFormat="1" applyFill="1"/>
    <xf numFmtId="10" fontId="0" fillId="2" borderId="0" xfId="0" applyNumberFormat="1" applyFill="1"/>
    <xf numFmtId="169" fontId="0" fillId="0" borderId="0" xfId="0" applyNumberFormat="1" applyFill="1" applyBorder="1"/>
    <xf numFmtId="10" fontId="0" fillId="0" borderId="0" xfId="0" applyNumberFormat="1" applyFill="1" applyBorder="1"/>
    <xf numFmtId="168" fontId="0" fillId="0" borderId="0" xfId="0" applyNumberFormat="1" applyFill="1" applyBorder="1"/>
    <xf numFmtId="0" fontId="4" fillId="3" borderId="0" xfId="0" applyFont="1" applyFill="1"/>
    <xf numFmtId="1" fontId="4" fillId="3" borderId="0" xfId="0" applyNumberFormat="1" applyFont="1" applyFill="1"/>
    <xf numFmtId="0" fontId="4" fillId="3" borderId="0" xfId="0" applyFont="1" applyFill="1" applyBorder="1"/>
    <xf numFmtId="169" fontId="0" fillId="2" borderId="0" xfId="0" applyNumberFormat="1" applyFill="1" applyBorder="1"/>
    <xf numFmtId="10" fontId="0" fillId="2" borderId="0" xfId="0" applyNumberFormat="1" applyFill="1" applyBorder="1"/>
    <xf numFmtId="168" fontId="0" fillId="2" borderId="0" xfId="0" applyNumberFormat="1" applyFill="1" applyBorder="1"/>
    <xf numFmtId="0" fontId="4" fillId="3" borderId="0" xfId="0" applyFont="1" applyFill="1" applyBorder="1" applyAlignment="1">
      <alignment horizontal="right"/>
    </xf>
    <xf numFmtId="0" fontId="4" fillId="2" borderId="0" xfId="0" applyFont="1" applyFill="1" applyBorder="1" applyAlignment="1">
      <alignment horizontal="right"/>
    </xf>
    <xf numFmtId="0" fontId="4" fillId="3" borderId="0" xfId="0" applyFont="1" applyFill="1" applyAlignment="1">
      <alignment horizontal="right"/>
    </xf>
    <xf numFmtId="169" fontId="0" fillId="5" borderId="0" xfId="0" applyNumberFormat="1" applyFill="1"/>
    <xf numFmtId="169" fontId="0" fillId="2" borderId="0" xfId="0" applyNumberFormat="1" applyFill="1"/>
    <xf numFmtId="169" fontId="0" fillId="0" borderId="0" xfId="0" applyNumberFormat="1"/>
  </cellXfs>
  <cellStyles count="2">
    <cellStyle name="Currency" xfId="1" builtinId="4"/>
    <cellStyle name="Normal" xfId="0" builtinId="0"/>
  </cellStyles>
  <dxfs count="225">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numFmt numFmtId="169" formatCode="&quot;$&quot;0.00,,,&quot;B&quot;"/>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numFmt numFmtId="169" formatCode="&quot;$&quot;0.00,,,&quot;B&quot;"/>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numFmt numFmtId="169" formatCode="&quot;$&quot;0.00,,,&quot;B&quot;"/>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numFmt numFmtId="169" formatCode="&quot;$&quot;0.00,,,&quot;B&quot;"/>
    </dxf>
    <dxf>
      <font>
        <color rgb="FF000000"/>
      </font>
      <fill>
        <patternFill patternType="solid">
          <fgColor indexed="64"/>
          <bgColor rgb="FFF1A983"/>
        </patternFill>
      </fill>
    </dxf>
    <dxf>
      <fill>
        <patternFill>
          <bgColor theme="5" tint="0.39994506668294322"/>
        </patternFill>
      </fill>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numFmt numFmtId="169" formatCode="&quot;$&quot;0.00,,,&quot;B&quot;"/>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numFmt numFmtId="169" formatCode="&quot;$&quot;0.00,,,&quot;B&quot;"/>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numFmt numFmtId="169" formatCode="&quot;$&quot;0.00,,,&quot;B&quot;"/>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numFmt numFmtId="169" formatCode="&quot;$&quot;0.00,,,&quot;B&quot;"/>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fill>
        <patternFill>
          <bgColor theme="5" tint="0.39994506668294322"/>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5" tint="0.39997558519241921"/>
        </patternFill>
      </fill>
    </dxf>
    <dxf>
      <fill>
        <patternFill patternType="solid">
          <bgColor theme="5" tint="0.39997558519241921"/>
        </patternFill>
      </fil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[Book1.xlsx]bank_financials_wide_full!PivotTable1</c:name>
    <c:fmtId val="1"/>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a:t>Net Income by Bank — 2024 vs 2025</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3"/>
          <c:order val="0"/>
          <c:tx>
            <c:strRef>
              <c:f>bank_financials_wide_full!$E$3:$E$4</c:f>
              <c:strCache>
                <c:ptCount val="1"/>
                <c:pt idx="0">
                  <c:v>NetIncome</c:v>
                </c:pt>
              </c:strCache>
            </c:strRef>
          </c:tx>
          <c:spPr>
            <a:solidFill>
              <a:schemeClr val="accent4"/>
            </a:solidFill>
            <a:ln>
              <a:noFill/>
            </a:ln>
            <a:effectLst/>
          </c:spPr>
          <c:invertIfNegative val="0"/>
          <c:cat>
            <c:multiLvlStrRef>
              <c:f>bank_financials_wide_full!$A$5:$A$28</c:f>
              <c:multiLvlStrCache>
                <c:ptCount val="22"/>
                <c:lvl>
                  <c:pt idx="0">
                    <c:v>FIRST CITIZENS BANCSHARES INC /DE/</c:v>
                  </c:pt>
                  <c:pt idx="1">
                    <c:v>CITIZENS FINANCIAL GROUP INC/RI</c:v>
                  </c:pt>
                  <c:pt idx="2">
                    <c:v>EAST WEST BANCORP INC</c:v>
                  </c:pt>
                  <c:pt idx="3">
                    <c:v>Fifth Third Bancorp</c:v>
                  </c:pt>
                  <c:pt idx="4">
                    <c:v>Huntington Bancshares Incorporated</c:v>
                  </c:pt>
                  <c:pt idx="5">
                    <c:v>KEYCORP /NEW/</c:v>
                  </c:pt>
                  <c:pt idx="6">
                    <c:v>M&amp;T BANK CORPORATION</c:v>
                  </c:pt>
                  <c:pt idx="7">
                    <c:v>Regions Financial Corporation</c:v>
                  </c:pt>
                  <c:pt idx="8">
                    <c:v>WEBSTER FINANCIAL CORPORATION</c:v>
                  </c:pt>
                  <c:pt idx="9">
                    <c:v>WESTERN ALLIANCE BANCORPORATION</c:v>
                  </c:pt>
                  <c:pt idx="10">
                    <c:v>ZIONS BANCORPORATION, NATIONAL ASSOCIATION</c:v>
                  </c:pt>
                  <c:pt idx="11">
                    <c:v>FIRST CITIZENS BANCSHARES INC /DE/</c:v>
                  </c:pt>
                  <c:pt idx="12">
                    <c:v>CITIZENS FINANCIAL GROUP INC/RI</c:v>
                  </c:pt>
                  <c:pt idx="13">
                    <c:v>EAST WEST BANCORP INC</c:v>
                  </c:pt>
                  <c:pt idx="14">
                    <c:v>Fifth Third Bancorp</c:v>
                  </c:pt>
                  <c:pt idx="15">
                    <c:v>Huntington Bancshares Incorporated</c:v>
                  </c:pt>
                  <c:pt idx="16">
                    <c:v>KEYCORP /NEW/</c:v>
                  </c:pt>
                  <c:pt idx="17">
                    <c:v>M&amp;T BANK CORPORATION</c:v>
                  </c:pt>
                  <c:pt idx="18">
                    <c:v>Regions Financial Corporation</c:v>
                  </c:pt>
                  <c:pt idx="19">
                    <c:v>WEBSTER FINANCIAL CORPORATION</c:v>
                  </c:pt>
                  <c:pt idx="20">
                    <c:v>WESTERN ALLIANCE BANCORPORATION</c:v>
                  </c:pt>
                  <c:pt idx="21">
                    <c:v>ZIONS BANCORPORATION, NATIONAL ASSOCIATION</c:v>
                  </c:pt>
                </c:lvl>
                <c:lvl>
                  <c:pt idx="0">
                    <c:v>2024</c:v>
                  </c:pt>
                  <c:pt idx="11">
                    <c:v>2025</c:v>
                  </c:pt>
                </c:lvl>
              </c:multiLvlStrCache>
            </c:multiLvlStrRef>
          </c:cat>
          <c:val>
            <c:numRef>
              <c:f>bank_financials_wide_full!$E$5:$E$28</c:f>
              <c:numCache>
                <c:formatCode>"$"0.00,,,"B"</c:formatCode>
                <c:ptCount val="22"/>
                <c:pt idx="0">
                  <c:v>2777000000</c:v>
                </c:pt>
                <c:pt idx="1">
                  <c:v>1509000000</c:v>
                </c:pt>
                <c:pt idx="2">
                  <c:v>1165586000</c:v>
                </c:pt>
                <c:pt idx="3">
                  <c:v>2314000000</c:v>
                </c:pt>
                <c:pt idx="4">
                  <c:v>1940000000</c:v>
                </c:pt>
                <c:pt idx="5">
                  <c:v>-161000000</c:v>
                </c:pt>
                <c:pt idx="6">
                  <c:v>2588000000</c:v>
                </c:pt>
                <c:pt idx="7">
                  <c:v>1893000000</c:v>
                </c:pt>
                <c:pt idx="8">
                  <c:v>768707000</c:v>
                </c:pt>
                <c:pt idx="9">
                  <c:v>787700000</c:v>
                </c:pt>
                <c:pt idx="10">
                  <c:v>784000000</c:v>
                </c:pt>
                <c:pt idx="11">
                  <c:v>2206000000</c:v>
                </c:pt>
                <c:pt idx="12">
                  <c:v>1831000000</c:v>
                </c:pt>
                <c:pt idx="13">
                  <c:v>1325188000</c:v>
                </c:pt>
                <c:pt idx="14">
                  <c:v>2522000000</c:v>
                </c:pt>
                <c:pt idx="15">
                  <c:v>2211000000</c:v>
                </c:pt>
                <c:pt idx="16">
                  <c:v>1829000000</c:v>
                </c:pt>
                <c:pt idx="17">
                  <c:v>2851000000</c:v>
                </c:pt>
                <c:pt idx="18">
                  <c:v>2156000000</c:v>
                </c:pt>
                <c:pt idx="19">
                  <c:v>1002802000</c:v>
                </c:pt>
                <c:pt idx="20">
                  <c:v>969000000</c:v>
                </c:pt>
                <c:pt idx="21">
                  <c:v>899000000</c:v>
                </c:pt>
              </c:numCache>
            </c:numRef>
          </c:val>
          <c:extLst>
            <c:ext xmlns:c16="http://schemas.microsoft.com/office/drawing/2014/chart" uri="{C3380CC4-5D6E-409C-BE32-E72D297353CC}">
              <c16:uniqueId val="{00000007-E621-4957-8BBD-61C62771C0FA}"/>
            </c:ext>
          </c:extLst>
        </c:ser>
        <c:dLbls>
          <c:showLegendKey val="0"/>
          <c:showVal val="0"/>
          <c:showCatName val="0"/>
          <c:showSerName val="0"/>
          <c:showPercent val="0"/>
          <c:showBubbleSize val="0"/>
        </c:dLbls>
        <c:gapWidth val="150"/>
        <c:axId val="12939984"/>
        <c:axId val="427746591"/>
      </c:barChart>
      <c:catAx>
        <c:axId val="1293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46591"/>
        <c:crosses val="autoZero"/>
        <c:auto val="1"/>
        <c:lblAlgn val="ctr"/>
        <c:lblOffset val="100"/>
        <c:noMultiLvlLbl val="0"/>
      </c:catAx>
      <c:valAx>
        <c:axId val="427746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Income ($ billions)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984"/>
        <c:crosses val="autoZero"/>
        <c:crossBetween val="between"/>
        <c:dispUnits>
          <c:builtInUnit val="b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190500</xdr:colOff>
      <xdr:row>2</xdr:row>
      <xdr:rowOff>28575</xdr:rowOff>
    </xdr:from>
    <xdr:to>
      <xdr:col>13</xdr:col>
      <xdr:colOff>419100</xdr:colOff>
      <xdr:row>16</xdr:row>
      <xdr:rowOff>28575</xdr:rowOff>
    </xdr:to>
    <mc:AlternateContent xmlns:mc="http://schemas.openxmlformats.org/markup-compatibility/2006">
      <mc:Choice xmlns:a14="http://schemas.microsoft.com/office/drawing/2010/main" Requires="a14">
        <xdr:graphicFrame macro="">
          <xdr:nvGraphicFramePr>
            <xdr:cNvPr id="2" name="fiscal_year 1">
              <a:extLst>
                <a:ext uri="{FF2B5EF4-FFF2-40B4-BE49-F238E27FC236}">
                  <a16:creationId xmlns:a16="http://schemas.microsoft.com/office/drawing/2014/main" id="{8A31E8BC-7F44-B43B-B782-07596C98D500}"/>
                </a:ext>
              </a:extLst>
            </xdr:cNvPr>
            <xdr:cNvGraphicFramePr/>
          </xdr:nvGraphicFramePr>
          <xdr:xfrm>
            <a:off x="0" y="0"/>
            <a:ext cx="0" cy="0"/>
          </xdr:xfrm>
          <a:graphic>
            <a:graphicData uri="http://schemas.microsoft.com/office/drawing/2010/slicer">
              <sle:slicer xmlns:sle="http://schemas.microsoft.com/office/drawing/2010/slicer" name="fiscal_year 1"/>
            </a:graphicData>
          </a:graphic>
        </xdr:graphicFrame>
      </mc:Choice>
      <mc:Fallback>
        <xdr:sp macro="" textlink="">
          <xdr:nvSpPr>
            <xdr:cNvPr id="0" name=""/>
            <xdr:cNvSpPr>
              <a:spLocks noTextEdit="1"/>
            </xdr:cNvSpPr>
          </xdr:nvSpPr>
          <xdr:spPr>
            <a:xfrm>
              <a:off x="11229975" y="409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161925</xdr:colOff>
      <xdr:row>15</xdr:row>
      <xdr:rowOff>171450</xdr:rowOff>
    </xdr:from>
    <xdr:to>
      <xdr:col>13</xdr:col>
      <xdr:colOff>390525</xdr:colOff>
      <xdr:row>29</xdr:row>
      <xdr:rowOff>171450</xdr:rowOff>
    </xdr:to>
    <mc:AlternateContent xmlns:mc="http://schemas.openxmlformats.org/markup-compatibility/2006">
      <mc:Choice xmlns:a14="http://schemas.microsoft.com/office/drawing/2010/main" Requires="a14">
        <xdr:graphicFrame macro="">
          <xdr:nvGraphicFramePr>
            <xdr:cNvPr id="4" name="company">
              <a:extLst>
                <a:ext uri="{FF2B5EF4-FFF2-40B4-BE49-F238E27FC236}">
                  <a16:creationId xmlns:a16="http://schemas.microsoft.com/office/drawing/2014/main" id="{C58D6A74-3A72-3578-C6C9-1E68F064AC74}"/>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11201400" y="3028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28575</xdr:colOff>
      <xdr:row>2</xdr:row>
      <xdr:rowOff>19050</xdr:rowOff>
    </xdr:from>
    <xdr:to>
      <xdr:col>11</xdr:col>
      <xdr:colOff>190501</xdr:colOff>
      <xdr:row>30</xdr:row>
      <xdr:rowOff>152399</xdr:rowOff>
    </xdr:to>
    <xdr:graphicFrame macro="">
      <xdr:nvGraphicFramePr>
        <xdr:cNvPr id="5" name="Chart 4">
          <a:extLst>
            <a:ext uri="{FF2B5EF4-FFF2-40B4-BE49-F238E27FC236}">
              <a16:creationId xmlns:a16="http://schemas.microsoft.com/office/drawing/2014/main" id="{15DA0FFE-D2CA-03C6-9776-38BFA4F9F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Cellucci" refreshedDate="46239.748158101851" createdVersion="8" refreshedVersion="8" minRefreshableVersion="3" recordCount="88" xr:uid="{59BF4715-D9BB-4A76-8AA7-52F12DD9620B}">
  <cacheSource type="worksheet">
    <worksheetSource name="bank_financials_long"/>
  </cacheSource>
  <cacheFields count="14">
    <cacheField name="company" numFmtId="0">
      <sharedItems count="11">
        <s v="FIRST CITIZENS BANCSHARES INC /DE/"/>
        <s v="M&amp;T BANK CORPORATION"/>
        <s v="Fifth Third Bancorp"/>
        <s v="Huntington Bancshares Incorporated"/>
        <s v="Regions Financial Corporation"/>
        <s v="KEYCORP /NEW/"/>
        <s v="CITIZENS FINANCIAL GROUP INC/RI"/>
        <s v="ZIONS BANCORPORATION, NATIONAL ASSOCIATION"/>
        <s v="WESTERN ALLIANCE BANCORPORATION"/>
        <s v="EAST WEST BANCORP INC"/>
        <s v="WEBSTER FINANCIAL CORPORATION"/>
      </sharedItems>
    </cacheField>
    <cacheField name="cik" numFmtId="0">
      <sharedItems containsSemiMixedTypes="0" containsString="0" containsNumber="1" containsInteger="1" minValue="35527" maxValue="1281761"/>
    </cacheField>
    <cacheField name="ticker" numFmtId="0">
      <sharedItems/>
    </cacheField>
    <cacheField name="fiscal_year" numFmtId="0">
      <sharedItems containsSemiMixedTypes="0" containsString="0" containsNumber="1" containsInteger="1" minValue="2024" maxValue="2025" count="2">
        <n v="2024"/>
        <n v="2025"/>
      </sharedItems>
    </cacheField>
    <cacheField name="concept" numFmtId="0">
      <sharedItems count="4">
        <s v="Assets"/>
        <s v="Liabilities"/>
        <s v="Equity"/>
        <s v="NetIncome"/>
      </sharedItems>
    </cacheField>
    <cacheField name="value" numFmtId="44">
      <sharedItems containsSemiMixedTypes="0" containsString="0" containsNumber="1" containsInteger="1" minValue="-161000000" maxValue="229698000000"/>
    </cacheField>
    <cacheField name="source_tag" numFmtId="0">
      <sharedItems/>
    </cacheField>
    <cacheField name="end_date" numFmtId="14">
      <sharedItems containsSemiMixedTypes="0" containsNonDate="0" containsDate="1" containsString="0" minDate="2024-12-31T00:00:00" maxDate="2026-01-01T00:00:00" count="2">
        <d v="2024-12-31T00:00:00"/>
        <d v="2025-12-31T00:00:00"/>
      </sharedItems>
      <fieldGroup par="13"/>
    </cacheField>
    <cacheField name="filed" numFmtId="14">
      <sharedItems containsSemiMixedTypes="0" containsNonDate="0" containsDate="1" containsString="0" minDate="2026-02-12T00:00:00" maxDate="2026-02-28T00:00:00"/>
    </cacheField>
    <cacheField name="accn" numFmtId="0">
      <sharedItems/>
    </cacheField>
    <cacheField name="sec_fy" numFmtId="0">
      <sharedItems containsSemiMixedTypes="0" containsString="0" containsNumber="1" containsInteger="1" minValue="2025" maxValue="2025"/>
    </cacheField>
    <cacheField name="Months (end_date)" numFmtId="0" databaseField="0">
      <fieldGroup base="7">
        <rangePr groupBy="months" startDate="2024-12-31T00:00:00" endDate="2026-01-01T00:00:00"/>
        <groupItems count="14">
          <s v="&lt;12/31/2024"/>
          <s v="Jan"/>
          <s v="Feb"/>
          <s v="Mar"/>
          <s v="Apr"/>
          <s v="May"/>
          <s v="Jun"/>
          <s v="Jul"/>
          <s v="Aug"/>
          <s v="Sep"/>
          <s v="Oct"/>
          <s v="Nov"/>
          <s v="Dec"/>
          <s v="&gt;1/1/2026"/>
        </groupItems>
      </fieldGroup>
    </cacheField>
    <cacheField name="Quarters (end_date)" numFmtId="0" databaseField="0">
      <fieldGroup base="7">
        <rangePr groupBy="quarters" startDate="2024-12-31T00:00:00" endDate="2026-01-01T00:00:00"/>
        <groupItems count="6">
          <s v="&lt;12/31/2024"/>
          <s v="Qtr1"/>
          <s v="Qtr2"/>
          <s v="Qtr3"/>
          <s v="Qtr4"/>
          <s v="&gt;1/1/2026"/>
        </groupItems>
      </fieldGroup>
    </cacheField>
    <cacheField name="Years (end_date)" numFmtId="0" databaseField="0">
      <fieldGroup base="7">
        <rangePr groupBy="years" startDate="2024-12-31T00:00:00" endDate="2026-01-01T00:00:00"/>
        <groupItems count="5">
          <s v="&lt;12/31/2024"/>
          <s v="2024"/>
          <s v="2025"/>
          <s v="2026"/>
          <s v="&gt;1/1/2026"/>
        </groupItems>
      </fieldGroup>
    </cacheField>
  </cacheFields>
  <extLst>
    <ext xmlns:x14="http://schemas.microsoft.com/office/spreadsheetml/2009/9/main" uri="{725AE2AE-9491-48be-B2B4-4EB974FC3084}">
      <x14:pivotCacheDefinition pivotCacheId="1543470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n v="798941"/>
    <s v="FCNCA"/>
    <x v="0"/>
    <x v="0"/>
    <n v="223720000000"/>
    <s v="Assets"/>
    <x v="0"/>
    <d v="2026-02-24T00:00:00"/>
    <s v="0000798941-26-000015"/>
    <n v="2025"/>
  </r>
  <r>
    <x v="0"/>
    <n v="798941"/>
    <s v="FCNCA"/>
    <x v="1"/>
    <x v="0"/>
    <n v="229698000000"/>
    <s v="Assets"/>
    <x v="1"/>
    <d v="2026-02-24T00:00:00"/>
    <s v="0000798941-26-000015"/>
    <n v="2025"/>
  </r>
  <r>
    <x v="0"/>
    <n v="798941"/>
    <s v="FCNCA"/>
    <x v="0"/>
    <x v="1"/>
    <n v="201492000000"/>
    <s v="Liabilities"/>
    <x v="0"/>
    <d v="2026-02-24T00:00:00"/>
    <s v="0000798941-26-000015"/>
    <n v="2025"/>
  </r>
  <r>
    <x v="0"/>
    <n v="798941"/>
    <s v="FCNCA"/>
    <x v="1"/>
    <x v="1"/>
    <n v="207460000000"/>
    <s v="Liabilities"/>
    <x v="1"/>
    <d v="2026-02-24T00:00:00"/>
    <s v="0000798941-26-000015"/>
    <n v="2025"/>
  </r>
  <r>
    <x v="0"/>
    <n v="798941"/>
    <s v="FCNCA"/>
    <x v="0"/>
    <x v="2"/>
    <n v="22228000000"/>
    <s v="StockholdersEquity"/>
    <x v="0"/>
    <d v="2026-02-24T00:00:00"/>
    <s v="0000798941-26-000015"/>
    <n v="2025"/>
  </r>
  <r>
    <x v="0"/>
    <n v="798941"/>
    <s v="FCNCA"/>
    <x v="1"/>
    <x v="2"/>
    <n v="22238000000"/>
    <s v="StockholdersEquity"/>
    <x v="1"/>
    <d v="2026-02-24T00:00:00"/>
    <s v="0000798941-26-000015"/>
    <n v="2025"/>
  </r>
  <r>
    <x v="0"/>
    <n v="798941"/>
    <s v="FCNCA"/>
    <x v="0"/>
    <x v="3"/>
    <n v="2777000000"/>
    <s v="NetIncomeLoss"/>
    <x v="0"/>
    <d v="2026-02-24T00:00:00"/>
    <s v="0000798941-26-000015"/>
    <n v="2025"/>
  </r>
  <r>
    <x v="0"/>
    <n v="798941"/>
    <s v="FCNCA"/>
    <x v="1"/>
    <x v="3"/>
    <n v="2206000000"/>
    <s v="NetIncomeLoss"/>
    <x v="1"/>
    <d v="2026-02-24T00:00:00"/>
    <s v="0000798941-26-000015"/>
    <n v="2025"/>
  </r>
  <r>
    <x v="1"/>
    <n v="36270"/>
    <s v="MTB"/>
    <x v="0"/>
    <x v="0"/>
    <n v="208105000000"/>
    <s v="Assets"/>
    <x v="0"/>
    <d v="2026-02-18T00:00:00"/>
    <s v="0000036270-26-000010"/>
    <n v="2025"/>
  </r>
  <r>
    <x v="1"/>
    <n v="36270"/>
    <s v="MTB"/>
    <x v="1"/>
    <x v="0"/>
    <n v="213510000000"/>
    <s v="Assets"/>
    <x v="1"/>
    <d v="2026-02-18T00:00:00"/>
    <s v="0000036270-26-000010"/>
    <n v="2025"/>
  </r>
  <r>
    <x v="1"/>
    <n v="36270"/>
    <s v="MTB"/>
    <x v="0"/>
    <x v="1"/>
    <n v="179078000000"/>
    <s v="Liabilities"/>
    <x v="0"/>
    <d v="2026-02-18T00:00:00"/>
    <s v="0000036270-26-000010"/>
    <n v="2025"/>
  </r>
  <r>
    <x v="1"/>
    <n v="36270"/>
    <s v="MTB"/>
    <x v="1"/>
    <x v="1"/>
    <n v="184333000000"/>
    <s v="Liabilities"/>
    <x v="1"/>
    <d v="2026-02-18T00:00:00"/>
    <s v="0000036270-26-000010"/>
    <n v="2025"/>
  </r>
  <r>
    <x v="1"/>
    <n v="36270"/>
    <s v="MTB"/>
    <x v="0"/>
    <x v="2"/>
    <n v="29027000000"/>
    <s v="StockholdersEquity"/>
    <x v="0"/>
    <d v="2026-02-18T00:00:00"/>
    <s v="0000036270-26-000010"/>
    <n v="2025"/>
  </r>
  <r>
    <x v="1"/>
    <n v="36270"/>
    <s v="MTB"/>
    <x v="1"/>
    <x v="2"/>
    <n v="29177000000"/>
    <s v="StockholdersEquity"/>
    <x v="1"/>
    <d v="2026-02-18T00:00:00"/>
    <s v="0000036270-26-000010"/>
    <n v="2025"/>
  </r>
  <r>
    <x v="1"/>
    <n v="36270"/>
    <s v="MTB"/>
    <x v="0"/>
    <x v="3"/>
    <n v="2588000000"/>
    <s v="NetIncomeLoss"/>
    <x v="0"/>
    <d v="2026-02-18T00:00:00"/>
    <s v="0000036270-26-000010"/>
    <n v="2025"/>
  </r>
  <r>
    <x v="1"/>
    <n v="36270"/>
    <s v="MTB"/>
    <x v="1"/>
    <x v="3"/>
    <n v="2851000000"/>
    <s v="NetIncomeLoss"/>
    <x v="1"/>
    <d v="2026-02-18T00:00:00"/>
    <s v="0000036270-26-000010"/>
    <n v="2025"/>
  </r>
  <r>
    <x v="2"/>
    <n v="35527"/>
    <s v="FITB"/>
    <x v="0"/>
    <x v="0"/>
    <n v="212927000000"/>
    <s v="Assets"/>
    <x v="0"/>
    <d v="2026-02-24T00:00:00"/>
    <s v="0000035527-26-000124"/>
    <n v="2025"/>
  </r>
  <r>
    <x v="2"/>
    <n v="35527"/>
    <s v="FITB"/>
    <x v="1"/>
    <x v="0"/>
    <n v="214376000000"/>
    <s v="Assets"/>
    <x v="1"/>
    <d v="2026-02-24T00:00:00"/>
    <s v="0000035527-26-000124"/>
    <n v="2025"/>
  </r>
  <r>
    <x v="2"/>
    <n v="35527"/>
    <s v="FITB"/>
    <x v="0"/>
    <x v="1"/>
    <n v="193282000000"/>
    <s v="Liabilities"/>
    <x v="0"/>
    <d v="2026-02-24T00:00:00"/>
    <s v="0000035527-26-000124"/>
    <n v="2025"/>
  </r>
  <r>
    <x v="2"/>
    <n v="35527"/>
    <s v="FITB"/>
    <x v="1"/>
    <x v="1"/>
    <n v="192652000000"/>
    <s v="Liabilities"/>
    <x v="1"/>
    <d v="2026-02-24T00:00:00"/>
    <s v="0000035527-26-000124"/>
    <n v="2025"/>
  </r>
  <r>
    <x v="2"/>
    <n v="35527"/>
    <s v="FITB"/>
    <x v="0"/>
    <x v="2"/>
    <n v="19645000000"/>
    <s v="StockholdersEquity"/>
    <x v="0"/>
    <d v="2026-02-24T00:00:00"/>
    <s v="0000035527-26-000124"/>
    <n v="2025"/>
  </r>
  <r>
    <x v="2"/>
    <n v="35527"/>
    <s v="FITB"/>
    <x v="1"/>
    <x v="2"/>
    <n v="21724000000"/>
    <s v="StockholdersEquity"/>
    <x v="1"/>
    <d v="2026-02-24T00:00:00"/>
    <s v="0000035527-26-000124"/>
    <n v="2025"/>
  </r>
  <r>
    <x v="2"/>
    <n v="35527"/>
    <s v="FITB"/>
    <x v="0"/>
    <x v="3"/>
    <n v="2314000000"/>
    <s v="NetIncomeLoss"/>
    <x v="0"/>
    <d v="2026-02-24T00:00:00"/>
    <s v="0000035527-26-000124"/>
    <n v="2025"/>
  </r>
  <r>
    <x v="2"/>
    <n v="35527"/>
    <s v="FITB"/>
    <x v="1"/>
    <x v="3"/>
    <n v="2522000000"/>
    <s v="NetIncomeLoss"/>
    <x v="1"/>
    <d v="2026-02-24T00:00:00"/>
    <s v="0000035527-26-000124"/>
    <n v="2025"/>
  </r>
  <r>
    <x v="3"/>
    <n v="49196"/>
    <s v="HBAN"/>
    <x v="0"/>
    <x v="0"/>
    <n v="204230000000"/>
    <s v="Assets"/>
    <x v="0"/>
    <d v="2026-02-13T00:00:00"/>
    <s v="0000049196-26-000015"/>
    <n v="2025"/>
  </r>
  <r>
    <x v="3"/>
    <n v="49196"/>
    <s v="HBAN"/>
    <x v="1"/>
    <x v="0"/>
    <n v="225106000000"/>
    <s v="Assets"/>
    <x v="1"/>
    <d v="2026-02-13T00:00:00"/>
    <s v="0000049196-26-000015"/>
    <n v="2025"/>
  </r>
  <r>
    <x v="3"/>
    <n v="49196"/>
    <s v="HBAN"/>
    <x v="0"/>
    <x v="1"/>
    <n v="184448000000"/>
    <s v="Liabilities"/>
    <x v="0"/>
    <d v="2026-02-13T00:00:00"/>
    <s v="0000049196-26-000015"/>
    <n v="2025"/>
  </r>
  <r>
    <x v="3"/>
    <n v="49196"/>
    <s v="HBAN"/>
    <x v="1"/>
    <x v="1"/>
    <n v="200727000000"/>
    <s v="Liabilities"/>
    <x v="1"/>
    <d v="2026-02-13T00:00:00"/>
    <s v="0000049196-26-000015"/>
    <n v="2025"/>
  </r>
  <r>
    <x v="3"/>
    <n v="49196"/>
    <s v="HBAN"/>
    <x v="0"/>
    <x v="2"/>
    <n v="19782000000"/>
    <s v="StockholdersEquityIncludingPortionAttributableToNoncontrollingInterest"/>
    <x v="0"/>
    <d v="2026-02-13T00:00:00"/>
    <s v="0000049196-26-000015"/>
    <n v="2025"/>
  </r>
  <r>
    <x v="3"/>
    <n v="49196"/>
    <s v="HBAN"/>
    <x v="1"/>
    <x v="2"/>
    <n v="24379000000"/>
    <s v="StockholdersEquityIncludingPortionAttributableToNoncontrollingInterest"/>
    <x v="1"/>
    <d v="2026-02-13T00:00:00"/>
    <s v="0000049196-26-000015"/>
    <n v="2025"/>
  </r>
  <r>
    <x v="3"/>
    <n v="49196"/>
    <s v="HBAN"/>
    <x v="0"/>
    <x v="3"/>
    <n v="1940000000"/>
    <s v="NetIncomeLoss"/>
    <x v="0"/>
    <d v="2026-02-13T00:00:00"/>
    <s v="0000049196-26-000015"/>
    <n v="2025"/>
  </r>
  <r>
    <x v="3"/>
    <n v="49196"/>
    <s v="HBAN"/>
    <x v="1"/>
    <x v="3"/>
    <n v="2211000000"/>
    <s v="NetIncomeLoss"/>
    <x v="1"/>
    <d v="2026-02-13T00:00:00"/>
    <s v="0000049196-26-000015"/>
    <n v="2025"/>
  </r>
  <r>
    <x v="4"/>
    <n v="1281761"/>
    <s v="RF"/>
    <x v="0"/>
    <x v="0"/>
    <n v="157302000000"/>
    <s v="Assets"/>
    <x v="0"/>
    <d v="2026-02-24T00:00:00"/>
    <s v="0001281761-26-000019"/>
    <n v="2025"/>
  </r>
  <r>
    <x v="4"/>
    <n v="1281761"/>
    <s v="RF"/>
    <x v="1"/>
    <x v="0"/>
    <n v="158814000000"/>
    <s v="Assets"/>
    <x v="1"/>
    <d v="2026-02-24T00:00:00"/>
    <s v="0001281761-26-000019"/>
    <n v="2025"/>
  </r>
  <r>
    <x v="4"/>
    <n v="1281761"/>
    <s v="RF"/>
    <x v="0"/>
    <x v="1"/>
    <n v="139392000000"/>
    <s v="Liabilities"/>
    <x v="0"/>
    <d v="2026-02-24T00:00:00"/>
    <s v="0001281761-26-000019"/>
    <n v="2025"/>
  </r>
  <r>
    <x v="4"/>
    <n v="1281761"/>
    <s v="RF"/>
    <x v="1"/>
    <x v="1"/>
    <n v="139711000000"/>
    <s v="Liabilities"/>
    <x v="1"/>
    <d v="2026-02-24T00:00:00"/>
    <s v="0001281761-26-000019"/>
    <n v="2025"/>
  </r>
  <r>
    <x v="4"/>
    <n v="1281761"/>
    <s v="RF"/>
    <x v="0"/>
    <x v="2"/>
    <n v="17910000000"/>
    <s v="StockholdersEquityIncludingPortionAttributableToNoncontrollingInterest"/>
    <x v="0"/>
    <d v="2026-02-24T00:00:00"/>
    <s v="0001281761-26-000019"/>
    <n v="2025"/>
  </r>
  <r>
    <x v="4"/>
    <n v="1281761"/>
    <s v="RF"/>
    <x v="1"/>
    <x v="2"/>
    <n v="19103000000"/>
    <s v="StockholdersEquityIncludingPortionAttributableToNoncontrollingInterest"/>
    <x v="1"/>
    <d v="2026-02-24T00:00:00"/>
    <s v="0001281761-26-000019"/>
    <n v="2025"/>
  </r>
  <r>
    <x v="4"/>
    <n v="1281761"/>
    <s v="RF"/>
    <x v="0"/>
    <x v="3"/>
    <n v="1893000000"/>
    <s v="NetIncomeLoss"/>
    <x v="0"/>
    <d v="2026-02-24T00:00:00"/>
    <s v="0001281761-26-000019"/>
    <n v="2025"/>
  </r>
  <r>
    <x v="4"/>
    <n v="1281761"/>
    <s v="RF"/>
    <x v="1"/>
    <x v="3"/>
    <n v="2156000000"/>
    <s v="NetIncomeLoss"/>
    <x v="1"/>
    <d v="2026-02-24T00:00:00"/>
    <s v="0001281761-26-000019"/>
    <n v="2025"/>
  </r>
  <r>
    <x v="5"/>
    <n v="91576"/>
    <s v="KEY"/>
    <x v="0"/>
    <x v="0"/>
    <n v="187168000000"/>
    <s v="Assets"/>
    <x v="0"/>
    <d v="2026-02-23T00:00:00"/>
    <s v="0001628280-26-010546"/>
    <n v="2025"/>
  </r>
  <r>
    <x v="5"/>
    <n v="91576"/>
    <s v="KEY"/>
    <x v="1"/>
    <x v="0"/>
    <n v="184381000000"/>
    <s v="Assets"/>
    <x v="1"/>
    <d v="2026-02-23T00:00:00"/>
    <s v="0001628280-26-010546"/>
    <n v="2025"/>
  </r>
  <r>
    <x v="5"/>
    <n v="91576"/>
    <s v="KEY"/>
    <x v="0"/>
    <x v="1"/>
    <n v="168992000000"/>
    <s v="Liabilities"/>
    <x v="0"/>
    <d v="2026-02-23T00:00:00"/>
    <s v="0001628280-26-010546"/>
    <n v="2025"/>
  </r>
  <r>
    <x v="5"/>
    <n v="91576"/>
    <s v="KEY"/>
    <x v="1"/>
    <x v="1"/>
    <n v="164000000000"/>
    <s v="Liabilities"/>
    <x v="1"/>
    <d v="2026-02-23T00:00:00"/>
    <s v="0001628280-26-010546"/>
    <n v="2025"/>
  </r>
  <r>
    <x v="5"/>
    <n v="91576"/>
    <s v="KEY"/>
    <x v="0"/>
    <x v="2"/>
    <n v="18176000000"/>
    <s v="StockholdersEquity"/>
    <x v="0"/>
    <d v="2026-02-23T00:00:00"/>
    <s v="0001628280-26-010546"/>
    <n v="2025"/>
  </r>
  <r>
    <x v="5"/>
    <n v="91576"/>
    <s v="KEY"/>
    <x v="1"/>
    <x v="2"/>
    <n v="20381000000"/>
    <s v="StockholdersEquity"/>
    <x v="1"/>
    <d v="2026-02-23T00:00:00"/>
    <s v="0001628280-26-010546"/>
    <n v="2025"/>
  </r>
  <r>
    <x v="5"/>
    <n v="91576"/>
    <s v="KEY"/>
    <x v="0"/>
    <x v="3"/>
    <n v="-161000000"/>
    <s v="NetIncomeLoss"/>
    <x v="0"/>
    <d v="2026-02-23T00:00:00"/>
    <s v="0001628280-26-010546"/>
    <n v="2025"/>
  </r>
  <r>
    <x v="5"/>
    <n v="91576"/>
    <s v="KEY"/>
    <x v="1"/>
    <x v="3"/>
    <n v="1829000000"/>
    <s v="NetIncomeLoss"/>
    <x v="1"/>
    <d v="2026-02-23T00:00:00"/>
    <s v="0001628280-26-010546"/>
    <n v="2025"/>
  </r>
  <r>
    <x v="6"/>
    <n v="759944"/>
    <s v="CFG"/>
    <x v="0"/>
    <x v="0"/>
    <n v="217521000000"/>
    <s v="Assets"/>
    <x v="0"/>
    <d v="2026-02-12T00:00:00"/>
    <s v="0000759944-26-000028"/>
    <n v="2025"/>
  </r>
  <r>
    <x v="6"/>
    <n v="759944"/>
    <s v="CFG"/>
    <x v="1"/>
    <x v="0"/>
    <n v="226351000000"/>
    <s v="Assets"/>
    <x v="1"/>
    <d v="2026-02-12T00:00:00"/>
    <s v="0000759944-26-000028"/>
    <n v="2025"/>
  </r>
  <r>
    <x v="6"/>
    <n v="759944"/>
    <s v="CFG"/>
    <x v="0"/>
    <x v="1"/>
    <n v="193267000000"/>
    <s v="Liabilities"/>
    <x v="0"/>
    <d v="2026-02-12T00:00:00"/>
    <s v="0000759944-26-000028"/>
    <n v="2025"/>
  </r>
  <r>
    <x v="6"/>
    <n v="759944"/>
    <s v="CFG"/>
    <x v="1"/>
    <x v="1"/>
    <n v="200034000000"/>
    <s v="Liabilities"/>
    <x v="1"/>
    <d v="2026-02-12T00:00:00"/>
    <s v="0000759944-26-000028"/>
    <n v="2025"/>
  </r>
  <r>
    <x v="6"/>
    <n v="759944"/>
    <s v="CFG"/>
    <x v="0"/>
    <x v="2"/>
    <n v="24254000000"/>
    <s v="StockholdersEquity"/>
    <x v="0"/>
    <d v="2026-02-12T00:00:00"/>
    <s v="0000759944-26-000028"/>
    <n v="2025"/>
  </r>
  <r>
    <x v="6"/>
    <n v="759944"/>
    <s v="CFG"/>
    <x v="1"/>
    <x v="2"/>
    <n v="26317000000"/>
    <s v="StockholdersEquity"/>
    <x v="1"/>
    <d v="2026-02-12T00:00:00"/>
    <s v="0000759944-26-000028"/>
    <n v="2025"/>
  </r>
  <r>
    <x v="6"/>
    <n v="759944"/>
    <s v="CFG"/>
    <x v="0"/>
    <x v="3"/>
    <n v="1509000000"/>
    <s v="NetIncomeLoss"/>
    <x v="0"/>
    <d v="2026-02-12T00:00:00"/>
    <s v="0000759944-26-000028"/>
    <n v="2025"/>
  </r>
  <r>
    <x v="6"/>
    <n v="759944"/>
    <s v="CFG"/>
    <x v="1"/>
    <x v="3"/>
    <n v="1831000000"/>
    <s v="NetIncomeLoss"/>
    <x v="1"/>
    <d v="2026-02-12T00:00:00"/>
    <s v="0000759944-26-000028"/>
    <n v="2025"/>
  </r>
  <r>
    <x v="7"/>
    <n v="109380"/>
    <s v="ZION"/>
    <x v="0"/>
    <x v="0"/>
    <n v="88775000000"/>
    <s v="Assets"/>
    <x v="0"/>
    <d v="2026-02-24T00:00:00"/>
    <s v="0000109380-26-000046"/>
    <n v="2025"/>
  </r>
  <r>
    <x v="7"/>
    <n v="109380"/>
    <s v="ZION"/>
    <x v="1"/>
    <x v="0"/>
    <n v="88990000000"/>
    <s v="Assets"/>
    <x v="1"/>
    <d v="2026-02-24T00:00:00"/>
    <s v="0000109380-26-000046"/>
    <n v="2025"/>
  </r>
  <r>
    <x v="7"/>
    <n v="109380"/>
    <s v="ZION"/>
    <x v="0"/>
    <x v="1"/>
    <n v="82651000000"/>
    <s v="Liabilities"/>
    <x v="0"/>
    <d v="2026-02-24T00:00:00"/>
    <s v="0000109380-26-000046"/>
    <n v="2025"/>
  </r>
  <r>
    <x v="7"/>
    <n v="109380"/>
    <s v="ZION"/>
    <x v="1"/>
    <x v="1"/>
    <n v="81810000000"/>
    <s v="Liabilities"/>
    <x v="1"/>
    <d v="2026-02-24T00:00:00"/>
    <s v="0000109380-26-000046"/>
    <n v="2025"/>
  </r>
  <r>
    <x v="7"/>
    <n v="109380"/>
    <s v="ZION"/>
    <x v="0"/>
    <x v="2"/>
    <n v="6124000000"/>
    <s v="StockholdersEquity"/>
    <x v="0"/>
    <d v="2026-02-24T00:00:00"/>
    <s v="0000109380-26-000046"/>
    <n v="2025"/>
  </r>
  <r>
    <x v="7"/>
    <n v="109380"/>
    <s v="ZION"/>
    <x v="1"/>
    <x v="2"/>
    <n v="7180000000"/>
    <s v="StockholdersEquity"/>
    <x v="1"/>
    <d v="2026-02-24T00:00:00"/>
    <s v="0000109380-26-000046"/>
    <n v="2025"/>
  </r>
  <r>
    <x v="7"/>
    <n v="109380"/>
    <s v="ZION"/>
    <x v="0"/>
    <x v="3"/>
    <n v="784000000"/>
    <s v="NetIncomeLoss"/>
    <x v="0"/>
    <d v="2026-02-24T00:00:00"/>
    <s v="0000109380-26-000046"/>
    <n v="2025"/>
  </r>
  <r>
    <x v="7"/>
    <n v="109380"/>
    <s v="ZION"/>
    <x v="1"/>
    <x v="3"/>
    <n v="899000000"/>
    <s v="NetIncomeLoss"/>
    <x v="1"/>
    <d v="2026-02-24T00:00:00"/>
    <s v="0000109380-26-000046"/>
    <n v="2025"/>
  </r>
  <r>
    <x v="8"/>
    <n v="1212545"/>
    <s v="WAL"/>
    <x v="0"/>
    <x v="0"/>
    <n v="80934000000"/>
    <s v="Assets"/>
    <x v="0"/>
    <d v="2026-02-23T00:00:00"/>
    <s v="0001628280-26-010336"/>
    <n v="2025"/>
  </r>
  <r>
    <x v="8"/>
    <n v="1212545"/>
    <s v="WAL"/>
    <x v="1"/>
    <x v="0"/>
    <n v="92774000000"/>
    <s v="Assets"/>
    <x v="1"/>
    <d v="2026-02-23T00:00:00"/>
    <s v="0001628280-26-010336"/>
    <n v="2025"/>
  </r>
  <r>
    <x v="8"/>
    <n v="1212545"/>
    <s v="WAL"/>
    <x v="0"/>
    <x v="1"/>
    <n v="74227000000"/>
    <s v="Liabilities"/>
    <x v="0"/>
    <d v="2026-02-23T00:00:00"/>
    <s v="0001628280-26-010336"/>
    <n v="2025"/>
  </r>
  <r>
    <x v="8"/>
    <n v="1212545"/>
    <s v="WAL"/>
    <x v="1"/>
    <x v="1"/>
    <n v="84828000000"/>
    <s v="Liabilities"/>
    <x v="1"/>
    <d v="2026-02-23T00:00:00"/>
    <s v="0001628280-26-010336"/>
    <n v="2025"/>
  </r>
  <r>
    <x v="8"/>
    <n v="1212545"/>
    <s v="WAL"/>
    <x v="0"/>
    <x v="2"/>
    <n v="6707500000"/>
    <s v="StockholdersEquityIncludingPortionAttributableToNoncontrollingInterest"/>
    <x v="0"/>
    <d v="2026-02-23T00:00:00"/>
    <s v="0001628280-26-010336"/>
    <n v="2025"/>
  </r>
  <r>
    <x v="8"/>
    <n v="1212545"/>
    <s v="WAL"/>
    <x v="1"/>
    <x v="2"/>
    <n v="7945900000"/>
    <s v="StockholdersEquityIncludingPortionAttributableToNoncontrollingInterest"/>
    <x v="1"/>
    <d v="2026-02-23T00:00:00"/>
    <s v="0001628280-26-010336"/>
    <n v="2025"/>
  </r>
  <r>
    <x v="8"/>
    <n v="1212545"/>
    <s v="WAL"/>
    <x v="0"/>
    <x v="3"/>
    <n v="787700000"/>
    <s v="NetIncomeLoss"/>
    <x v="0"/>
    <d v="2026-02-23T00:00:00"/>
    <s v="0001628280-26-010336"/>
    <n v="2025"/>
  </r>
  <r>
    <x v="8"/>
    <n v="1212545"/>
    <s v="WAL"/>
    <x v="1"/>
    <x v="3"/>
    <n v="969000000"/>
    <s v="NetIncomeLoss"/>
    <x v="1"/>
    <d v="2026-02-23T00:00:00"/>
    <s v="0001628280-26-010336"/>
    <n v="2025"/>
  </r>
  <r>
    <x v="9"/>
    <n v="1069157"/>
    <s v="EWBC"/>
    <x v="0"/>
    <x v="0"/>
    <n v="75976475000"/>
    <s v="Assets"/>
    <x v="0"/>
    <d v="2026-02-27T00:00:00"/>
    <s v="0001069157-26-000009"/>
    <n v="2025"/>
  </r>
  <r>
    <x v="9"/>
    <n v="1069157"/>
    <s v="EWBC"/>
    <x v="1"/>
    <x v="0"/>
    <n v="80434997000"/>
    <s v="Assets"/>
    <x v="1"/>
    <d v="2026-02-27T00:00:00"/>
    <s v="0001069157-26-000009"/>
    <n v="2025"/>
  </r>
  <r>
    <x v="9"/>
    <n v="1069157"/>
    <s v="EWBC"/>
    <x v="0"/>
    <x v="1"/>
    <n v="68253421000"/>
    <s v="Liabilities"/>
    <x v="0"/>
    <d v="2026-02-27T00:00:00"/>
    <s v="0001069157-26-000009"/>
    <n v="2025"/>
  </r>
  <r>
    <x v="9"/>
    <n v="1069157"/>
    <s v="EWBC"/>
    <x v="1"/>
    <x v="1"/>
    <n v="71535795000"/>
    <s v="Liabilities"/>
    <x v="1"/>
    <d v="2026-02-27T00:00:00"/>
    <s v="0001069157-26-000009"/>
    <n v="2025"/>
  </r>
  <r>
    <x v="9"/>
    <n v="1069157"/>
    <s v="EWBC"/>
    <x v="0"/>
    <x v="2"/>
    <n v="7723054000"/>
    <s v="StockholdersEquity"/>
    <x v="0"/>
    <d v="2026-02-27T00:00:00"/>
    <s v="0001069157-26-000009"/>
    <n v="2025"/>
  </r>
  <r>
    <x v="9"/>
    <n v="1069157"/>
    <s v="EWBC"/>
    <x v="1"/>
    <x v="2"/>
    <n v="8899202000"/>
    <s v="StockholdersEquity"/>
    <x v="1"/>
    <d v="2026-02-27T00:00:00"/>
    <s v="0001069157-26-000009"/>
    <n v="2025"/>
  </r>
  <r>
    <x v="9"/>
    <n v="1069157"/>
    <s v="EWBC"/>
    <x v="0"/>
    <x v="3"/>
    <n v="1165586000"/>
    <s v="NetIncomeLoss"/>
    <x v="0"/>
    <d v="2026-02-27T00:00:00"/>
    <s v="0001069157-26-000009"/>
    <n v="2025"/>
  </r>
  <r>
    <x v="9"/>
    <n v="1069157"/>
    <s v="EWBC"/>
    <x v="1"/>
    <x v="3"/>
    <n v="1325188000"/>
    <s v="NetIncomeLoss"/>
    <x v="1"/>
    <d v="2026-02-27T00:00:00"/>
    <s v="0001069157-26-000009"/>
    <n v="2025"/>
  </r>
  <r>
    <x v="10"/>
    <n v="801337"/>
    <s v="WBS"/>
    <x v="0"/>
    <x v="0"/>
    <n v="79025073000"/>
    <s v="Assets"/>
    <x v="0"/>
    <d v="2026-02-27T00:00:00"/>
    <s v="0000801337-26-000008"/>
    <n v="2025"/>
  </r>
  <r>
    <x v="10"/>
    <n v="801337"/>
    <s v="WBS"/>
    <x v="1"/>
    <x v="0"/>
    <n v="84073663000"/>
    <s v="Assets"/>
    <x v="1"/>
    <d v="2026-02-27T00:00:00"/>
    <s v="0000801337-26-000008"/>
    <n v="2025"/>
  </r>
  <r>
    <x v="10"/>
    <n v="801337"/>
    <s v="WBS"/>
    <x v="0"/>
    <x v="1"/>
    <n v="69891859000"/>
    <s v="Liabilities"/>
    <x v="0"/>
    <d v="2026-02-27T00:00:00"/>
    <s v="0000801337-26-000008"/>
    <n v="2025"/>
  </r>
  <r>
    <x v="10"/>
    <n v="801337"/>
    <s v="WBS"/>
    <x v="1"/>
    <x v="1"/>
    <n v="74581427000"/>
    <s v="Liabilities"/>
    <x v="1"/>
    <d v="2026-02-27T00:00:00"/>
    <s v="0000801337-26-000008"/>
    <n v="2025"/>
  </r>
  <r>
    <x v="10"/>
    <n v="801337"/>
    <s v="WBS"/>
    <x v="0"/>
    <x v="2"/>
    <n v="9133214000"/>
    <s v="StockholdersEquityIncludingPortionAttributableToNoncontrollingInterest"/>
    <x v="0"/>
    <d v="2026-02-27T00:00:00"/>
    <s v="0000801337-26-000008"/>
    <n v="2025"/>
  </r>
  <r>
    <x v="10"/>
    <n v="801337"/>
    <s v="WBS"/>
    <x v="1"/>
    <x v="2"/>
    <n v="9492236000"/>
    <s v="StockholdersEquityIncludingPortionAttributableToNoncontrollingInterest"/>
    <x v="1"/>
    <d v="2026-02-27T00:00:00"/>
    <s v="0000801337-26-000008"/>
    <n v="2025"/>
  </r>
  <r>
    <x v="10"/>
    <n v="801337"/>
    <s v="WBS"/>
    <x v="0"/>
    <x v="3"/>
    <n v="768707000"/>
    <s v="NetIncomeLoss"/>
    <x v="0"/>
    <d v="2026-02-27T00:00:00"/>
    <s v="0000801337-26-000008"/>
    <n v="2025"/>
  </r>
  <r>
    <x v="10"/>
    <n v="801337"/>
    <s v="WBS"/>
    <x v="1"/>
    <x v="3"/>
    <n v="1002802000"/>
    <s v="NetIncomeLoss"/>
    <x v="1"/>
    <d v="2026-02-27T00:00:00"/>
    <s v="0000801337-26-000008"/>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F5F9A4-9035-437F-B892-CFDC1EBD1106}" name="PivotTable1" cacheId="38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E28" firstHeaderRow="1" firstDataRow="2" firstDataCol="1"/>
  <pivotFields count="14">
    <pivotField axis="axisRow" showAll="0" defaultSubtotal="0">
      <items count="12">
        <item x="0"/>
        <item x="6"/>
        <item x="9"/>
        <item x="2"/>
        <item x="3"/>
        <item x="5"/>
        <item x="1"/>
        <item x="4"/>
        <item x="10"/>
        <item x="8"/>
        <item x="7"/>
        <item t="default"/>
      </items>
    </pivotField>
    <pivotField showAll="0"/>
    <pivotField showAll="0"/>
    <pivotField showAll="0">
      <items count="3">
        <item x="0"/>
        <item x="1"/>
        <item t="default"/>
      </items>
    </pivotField>
    <pivotField axis="axisCol" showAll="0">
      <items count="5">
        <item sd="0" x="0"/>
        <item x="2"/>
        <item x="1"/>
        <item x="3"/>
        <item t="default"/>
      </items>
    </pivotField>
    <pivotField dataField="1" showAll="0"/>
    <pivotField showAll="0"/>
    <pivotField numFmtId="14" showAll="0">
      <items count="3">
        <item x="0"/>
        <item x="1"/>
        <item t="default"/>
      </items>
    </pivotField>
    <pivotField numFmtId="1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6">
        <item x="0"/>
        <item x="1"/>
        <item x="2"/>
        <item x="3"/>
        <item x="4"/>
        <item t="default"/>
      </items>
    </pivotField>
  </pivotFields>
  <rowFields count="2">
    <field x="13"/>
    <field x="0"/>
  </rowFields>
  <rowItems count="24">
    <i>
      <x v="1"/>
    </i>
    <i r="1">
      <x/>
    </i>
    <i r="1">
      <x v="1"/>
    </i>
    <i r="1">
      <x v="2"/>
    </i>
    <i r="1">
      <x v="3"/>
    </i>
    <i r="1">
      <x v="4"/>
    </i>
    <i r="1">
      <x v="5"/>
    </i>
    <i r="1">
      <x v="6"/>
    </i>
    <i r="1">
      <x v="7"/>
    </i>
    <i r="1">
      <x v="8"/>
    </i>
    <i r="1">
      <x v="9"/>
    </i>
    <i r="1">
      <x v="10"/>
    </i>
    <i>
      <x v="2"/>
    </i>
    <i r="1">
      <x/>
    </i>
    <i r="1">
      <x v="1"/>
    </i>
    <i r="1">
      <x v="2"/>
    </i>
    <i r="1">
      <x v="3"/>
    </i>
    <i r="1">
      <x v="4"/>
    </i>
    <i r="1">
      <x v="5"/>
    </i>
    <i r="1">
      <x v="6"/>
    </i>
    <i r="1">
      <x v="7"/>
    </i>
    <i r="1">
      <x v="8"/>
    </i>
    <i r="1">
      <x v="9"/>
    </i>
    <i r="1">
      <x v="10"/>
    </i>
  </rowItems>
  <colFields count="1">
    <field x="4"/>
  </colFields>
  <colItems count="4">
    <i>
      <x/>
    </i>
    <i>
      <x v="1"/>
    </i>
    <i>
      <x v="2"/>
    </i>
    <i>
      <x v="3"/>
    </i>
  </colItems>
  <dataFields count="1">
    <dataField name="Bank Financials Wide" fld="5" baseField="0" baseItem="0" numFmtId="169"/>
  </dataFields>
  <formats count="15">
    <format dxfId="0">
      <pivotArea dataOnly="0" labelOnly="1" fieldPosition="0">
        <references count="2">
          <reference field="0" count="1">
            <x v="0"/>
          </reference>
          <reference field="13" count="1" selected="0">
            <x v="1"/>
          </reference>
        </references>
      </pivotArea>
    </format>
    <format dxfId="1">
      <pivotArea dataOnly="0" labelOnly="1" fieldPosition="0">
        <references count="2">
          <reference field="0" count="1">
            <x v="0"/>
          </reference>
          <reference field="13" count="1" selected="0">
            <x v="2"/>
          </reference>
        </references>
      </pivotArea>
    </format>
    <format dxfId="2">
      <pivotArea type="topRight" dataOnly="0" labelOnly="1" outline="0" offset="C1" fieldPosition="0"/>
    </format>
    <format dxfId="3">
      <pivotArea type="origin" dataOnly="0" labelOnly="1" outline="0" fieldPosition="0"/>
    </format>
    <format dxfId="4">
      <pivotArea field="4" type="button" dataOnly="0" labelOnly="1" outline="0" axis="axisCol" fieldPosition="0"/>
    </format>
    <format dxfId="5">
      <pivotArea type="topRight" dataOnly="0" labelOnly="1" outline="0" fieldPosition="0"/>
    </format>
    <format dxfId="6">
      <pivotArea field="13" type="button" dataOnly="0" labelOnly="1" outline="0" axis="axisRow" fieldPosition="0"/>
    </format>
    <format dxfId="7">
      <pivotArea dataOnly="0" labelOnly="1" fieldPosition="0">
        <references count="1">
          <reference field="4" count="0"/>
        </references>
      </pivotArea>
    </format>
    <format dxfId="8">
      <pivotArea collapsedLevelsAreSubtotals="1" fieldPosition="0">
        <references count="1">
          <reference field="13" count="1">
            <x v="1"/>
          </reference>
        </references>
      </pivotArea>
    </format>
    <format dxfId="9">
      <pivotArea dataOnly="0" labelOnly="1" fieldPosition="0">
        <references count="1">
          <reference field="13" count="1">
            <x v="1"/>
          </reference>
        </references>
      </pivotArea>
    </format>
    <format dxfId="10">
      <pivotArea collapsedLevelsAreSubtotals="1" fieldPosition="0">
        <references count="1">
          <reference field="13" count="1">
            <x v="2"/>
          </reference>
        </references>
      </pivotArea>
    </format>
    <format dxfId="11">
      <pivotArea dataOnly="0" labelOnly="1" fieldPosition="0">
        <references count="1">
          <reference field="13" count="1">
            <x v="2"/>
          </reference>
        </references>
      </pivotArea>
    </format>
    <format dxfId="12">
      <pivotArea collapsedLevelsAreSubtotals="1" fieldPosition="0">
        <references count="2">
          <reference field="0" count="1">
            <x v="0"/>
          </reference>
          <reference field="13" count="1" selected="0">
            <x v="1"/>
          </reference>
        </references>
      </pivotArea>
    </format>
    <format dxfId="13">
      <pivotArea collapsedLevelsAreSubtotals="1" fieldPosition="0">
        <references count="2">
          <reference field="0" count="1">
            <x v="0"/>
          </reference>
          <reference field="13" count="1" selected="0">
            <x v="2"/>
          </reference>
        </references>
      </pivotArea>
    </format>
    <format dxfId="14">
      <pivotArea outline="0" collapsedLevelsAreSubtotals="1" fieldPosition="0"/>
    </format>
  </formats>
  <chartFormats count="5">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09D7B2-8EED-4FF8-B4A3-E524CBBB358D}" autoFormatId="16" applyNumberFormats="0" applyBorderFormats="0" applyFontFormats="0" applyPatternFormats="0" applyAlignmentFormats="0" applyWidthHeightFormats="0">
  <queryTableRefresh nextId="12">
    <queryTableFields count="11">
      <queryTableField id="1" name="company" tableColumnId="1"/>
      <queryTableField id="2" name="cik" tableColumnId="2"/>
      <queryTableField id="3" name="ticker" tableColumnId="3"/>
      <queryTableField id="4" name="fiscal_year" tableColumnId="4"/>
      <queryTableField id="5" name="concept" tableColumnId="5"/>
      <queryTableField id="6" name="value" tableColumnId="6"/>
      <queryTableField id="7" name="source_tag" tableColumnId="7"/>
      <queryTableField id="8" name="end_date" tableColumnId="8"/>
      <queryTableField id="9" name="filed" tableColumnId="9"/>
      <queryTableField id="10" name="accn" tableColumnId="10"/>
      <queryTableField id="11" name="sec_fy"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year1" xr10:uid="{EFF95B66-48FA-48B1-81C7-2E85483A9E6C}" sourceName="fiscal_year">
  <pivotTables>
    <pivotTable tabId="3" name="PivotTable1"/>
  </pivotTables>
  <data>
    <tabular pivotCacheId="15434700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B34C1415-C5C3-41A4-91AB-8BB97D888967}" sourceName="company">
  <pivotTables>
    <pivotTable tabId="3" name="PivotTable1"/>
  </pivotTables>
  <data>
    <tabular pivotCacheId="1543470006">
      <items count="11">
        <i x="6" s="1"/>
        <i x="9" s="1"/>
        <i x="2" s="1"/>
        <i x="0" s="1"/>
        <i x="3" s="1"/>
        <i x="5" s="1"/>
        <i x="1" s="1"/>
        <i x="4" s="1"/>
        <i x="10"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_year 1" xr10:uid="{BC0D1E08-79DD-4E2B-9FCB-F115197D2218}" cache="Slicer_fiscal_year1" caption="fiscal_year" rowHeight="257175"/>
  <slicer name="company" xr10:uid="{CDC5FB06-0DC5-444F-A70D-ADDE53779CF4}" cache="Slicer_company" caption="compan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2FD1A6-2667-432B-B1A1-233AB197B952}" name="bank_financials_long" displayName="bank_financials_long" ref="A1:K89" tableType="queryTable" totalsRowShown="0">
  <autoFilter ref="A1:K89" xr:uid="{092FD1A6-2667-432B-B1A1-233AB197B952}"/>
  <tableColumns count="11">
    <tableColumn id="1" xr3:uid="{C356B2CF-C777-476D-B85B-E61C5386A50B}" uniqueName="1" name="company" queryTableFieldId="1" dataDxfId="224"/>
    <tableColumn id="2" xr3:uid="{C9FD2E37-771D-47D7-86B5-8143B3DD3969}" uniqueName="2" name="cik" queryTableFieldId="2"/>
    <tableColumn id="3" xr3:uid="{93574300-009B-426E-9083-2B54E368E20F}" uniqueName="3" name="ticker" queryTableFieldId="3" dataDxfId="223"/>
    <tableColumn id="4" xr3:uid="{1E55CCD9-09F8-439B-8483-E4B81E2A42C5}" uniqueName="4" name="fiscal_year" queryTableFieldId="4"/>
    <tableColumn id="5" xr3:uid="{FEC94EC8-D224-438C-B663-18D130210E7E}" uniqueName="5" name="concept" queryTableFieldId="5" dataDxfId="222"/>
    <tableColumn id="6" xr3:uid="{D3849088-5FA4-409A-8B84-2A38C1FB7095}" uniqueName="6" name="value" queryTableFieldId="6" dataCellStyle="Currency"/>
    <tableColumn id="7" xr3:uid="{7BB56B68-50C8-4517-885E-206D761423DB}" uniqueName="7" name="source_tag" queryTableFieldId="7" dataDxfId="221"/>
    <tableColumn id="8" xr3:uid="{4A185DD8-52BA-4F99-BCB0-A103AA204444}" uniqueName="8" name="end_date" queryTableFieldId="8" dataDxfId="220"/>
    <tableColumn id="9" xr3:uid="{FBC66744-947F-4AB5-9751-094375B499C7}" uniqueName="9" name="filed" queryTableFieldId="9" dataDxfId="219"/>
    <tableColumn id="10" xr3:uid="{0E5259C4-5A30-4B22-B0CB-32AA21C3AD24}" uniqueName="10" name="accn" queryTableFieldId="10" dataDxfId="218"/>
    <tableColumn id="11" xr3:uid="{D1202033-5008-4EA6-9F77-CD4A18877017}" uniqueName="11" name="sec_fy" queryTableFieldId="1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E9C1-57BA-455E-BB67-331CCC79D14B}">
  <dimension ref="A2:L21"/>
  <sheetViews>
    <sheetView tabSelected="1" workbookViewId="0">
      <selection activeCell="B3" sqref="B3"/>
    </sheetView>
  </sheetViews>
  <sheetFormatPr defaultRowHeight="15" x14ac:dyDescent="0.25"/>
  <cols>
    <col min="1" max="1" width="16.7109375" bestFit="1" customWidth="1"/>
    <col min="2" max="2" width="8.7109375" bestFit="1" customWidth="1"/>
    <col min="3" max="3" width="16.5703125" bestFit="1" customWidth="1"/>
    <col min="4" max="4" width="12" bestFit="1" customWidth="1"/>
    <col min="5" max="5" width="11" bestFit="1" customWidth="1"/>
    <col min="6" max="6" width="12" bestFit="1" customWidth="1"/>
  </cols>
  <sheetData>
    <row r="2" spans="1:12" x14ac:dyDescent="0.25">
      <c r="A2" s="22" t="s">
        <v>59</v>
      </c>
      <c r="B2" s="23">
        <v>2024</v>
      </c>
      <c r="C2" s="30"/>
    </row>
    <row r="3" spans="1:12" x14ac:dyDescent="0.25">
      <c r="A3" s="24" t="s">
        <v>55</v>
      </c>
      <c r="B3" s="28" t="s">
        <v>27</v>
      </c>
      <c r="C3" s="29" t="s">
        <v>12</v>
      </c>
    </row>
    <row r="4" spans="1:12" x14ac:dyDescent="0.25">
      <c r="A4" s="8" t="s">
        <v>13</v>
      </c>
      <c r="B4" s="19" cm="1">
        <f t="array" ref="B4">INDEX(bank_financials_long[value],MATCH(1,(bank_financials_long[ticker]=B$3)*(bank_financials_long[fiscal_year]=$B$2)*(bank_financials_long[concept]=IF($A4="NetIncomeLoss","NetIncome",$A4)),0))</f>
        <v>204230000000</v>
      </c>
      <c r="C4" s="25" cm="1">
        <f t="array" ref="C4">INDEX(bank_financials_long[value],MATCH(1,(bank_financials_long[ticker]=C$3)*(bank_financials_long[fiscal_year]=$B$2)*(bank_financials_long[concept]=IF($A4="NetIncomeLoss","NetIncome",$A4)),0))</f>
        <v>223720000000</v>
      </c>
    </row>
    <row r="5" spans="1:12" x14ac:dyDescent="0.25">
      <c r="A5" s="8" t="s">
        <v>16</v>
      </c>
      <c r="B5" s="19" cm="1">
        <f t="array" ref="B5">INDEX(bank_financials_long[value],MATCH(1,(bank_financials_long[ticker]=B$3)*(bank_financials_long[fiscal_year]=$B$2)*(bank_financials_long[concept]=IF($A5="NetIncomeLoss","NetIncome",$A5)),0))</f>
        <v>19782000000</v>
      </c>
      <c r="C5" s="25" cm="1">
        <f t="array" ref="C5">INDEX(bank_financials_long[value],MATCH(1,(bank_financials_long[ticker]=C$3)*(bank_financials_long[fiscal_year]=$B$2)*(bank_financials_long[concept]=IF($A5="NetIncomeLoss","NetIncome",$A5)),0))</f>
        <v>22228000000</v>
      </c>
    </row>
    <row r="6" spans="1:12" x14ac:dyDescent="0.25">
      <c r="A6" s="8" t="s">
        <v>15</v>
      </c>
      <c r="B6" s="19" cm="1">
        <f t="array" ref="B6">INDEX(bank_financials_long[value],MATCH(1,(bank_financials_long[ticker]=B$3)*(bank_financials_long[fiscal_year]=$B$2)*(bank_financials_long[concept]=IF($A6="NetIncomeLoss","NetIncome",$A6)),0))</f>
        <v>184448000000</v>
      </c>
      <c r="C6" s="25" cm="1">
        <f t="array" ref="C6">INDEX(bank_financials_long[value],MATCH(1,(bank_financials_long[ticker]=C$3)*(bank_financials_long[fiscal_year]=$B$2)*(bank_financials_long[concept]=IF($A6="NetIncomeLoss","NetIncome",$A6)),0))</f>
        <v>201492000000</v>
      </c>
    </row>
    <row r="7" spans="1:12" x14ac:dyDescent="0.25">
      <c r="A7" s="8" t="s">
        <v>19</v>
      </c>
      <c r="B7" s="19" cm="1">
        <f t="array" ref="B7">INDEX(bank_financials_long[value],MATCH(1,(bank_financials_long[ticker]=B$3)*(bank_financials_long[fiscal_year]=$B$2)*(bank_financials_long[concept]=IF($A7="NetIncomeLoss","NetIncome",$A7)),0))</f>
        <v>1940000000</v>
      </c>
      <c r="C7" s="25" cm="1">
        <f t="array" ref="C7">INDEX(bank_financials_long[value],MATCH(1,(bank_financials_long[ticker]=C$3)*(bank_financials_long[fiscal_year]=$B$2)*(bank_financials_long[concept]=IF($A7="NetIncomeLoss","NetIncome",$A7)),0))</f>
        <v>2777000000</v>
      </c>
    </row>
    <row r="8" spans="1:12" x14ac:dyDescent="0.25">
      <c r="A8" s="8" t="s">
        <v>56</v>
      </c>
      <c r="B8" s="20" cm="1">
        <f t="array" ref="B8">INDEX(bank_financials_long[value],MATCH(1,(bank_financials_long[ticker]=B$3)*(bank_financials_long[fiscal_year]=$B$2)*(bank_financials_long[concept]="NetIncome"),0))/INDEX(bank_financials_long[value],MATCH(1,(bank_financials_long[ticker]=B$3)*(bank_financials_long[fiscal_year]=$B$2)*(bank_financials_long[concept]="Assets"),0))</f>
        <v>9.4990941585467361E-3</v>
      </c>
      <c r="C8" s="26" cm="1">
        <f t="array" ref="C8">INDEX(bank_financials_long[value],MATCH(1,(bank_financials_long[ticker]=C$3)*(bank_financials_long[fiscal_year]=$B$2)*(bank_financials_long[concept]="NetIncome"),0))/INDEX(bank_financials_long[value],MATCH(1,(bank_financials_long[ticker]=C$3)*(bank_financials_long[fiscal_year]=$B$2)*(bank_financials_long[concept]="Assets"),0))</f>
        <v>1.2412837475415698E-2</v>
      </c>
      <c r="E8" s="9"/>
      <c r="F8" s="9"/>
      <c r="G8" s="9"/>
      <c r="H8" s="9"/>
      <c r="I8" s="9"/>
      <c r="J8" s="9"/>
      <c r="K8" s="9"/>
      <c r="L8" s="9"/>
    </row>
    <row r="9" spans="1:12" x14ac:dyDescent="0.25">
      <c r="A9" s="8" t="s">
        <v>57</v>
      </c>
      <c r="B9" s="21" cm="1">
        <f t="array" ref="B9">INDEX(bank_financials_long[value],MATCH(1,(bank_financials_long[ticker]=B$3)*(bank_financials_long[fiscal_year]=$B$2)*(bank_financials_long[concept]="Assets"),0))/INDEX(bank_financials_long[value],MATCH(1,(bank_financials_long[ticker]=B$3)*(bank_financials_long[fiscal_year]=$B$2)*(bank_financials_long[concept]="Equity"),0))</f>
        <v>10.324031948235771</v>
      </c>
      <c r="C9" s="27" cm="1">
        <f t="array" ref="C9">INDEX(bank_financials_long[value],MATCH(1,(bank_financials_long[ticker]=C$3)*(bank_financials_long[fiscal_year]=$B$2)*(bank_financials_long[concept]="Assets"),0))/INDEX(bank_financials_long[value],MATCH(1,(bank_financials_long[ticker]=C$3)*(bank_financials_long[fiscal_year]=$B$2)*(bank_financials_long[concept]="Equity"),0))</f>
        <v>10.064783156379342</v>
      </c>
      <c r="D9" s="7"/>
      <c r="E9" s="9"/>
      <c r="F9" s="9"/>
      <c r="G9" s="9"/>
      <c r="H9" s="9"/>
      <c r="I9" s="9"/>
      <c r="J9" s="9"/>
      <c r="K9" s="9"/>
      <c r="L9" s="9"/>
    </row>
    <row r="10" spans="1:12" x14ac:dyDescent="0.25">
      <c r="A10" s="6"/>
      <c r="B10" s="6"/>
      <c r="C10" s="6"/>
      <c r="D10" s="7"/>
      <c r="E10" s="6"/>
      <c r="F10" s="6"/>
      <c r="G10" s="6"/>
      <c r="H10" s="6"/>
      <c r="I10" s="9"/>
      <c r="J10" s="9"/>
      <c r="K10" s="9"/>
      <c r="L10" s="9"/>
    </row>
    <row r="11" spans="1:12" x14ac:dyDescent="0.25">
      <c r="A11" s="8"/>
      <c r="B11" s="8"/>
      <c r="C11" s="8"/>
      <c r="D11" s="7"/>
      <c r="E11" s="6"/>
      <c r="F11" s="6"/>
      <c r="G11" s="6"/>
      <c r="H11" s="6"/>
      <c r="I11" s="9"/>
      <c r="J11" s="9"/>
      <c r="K11" s="9"/>
      <c r="L11" s="9"/>
    </row>
    <row r="12" spans="1:12" x14ac:dyDescent="0.25">
      <c r="A12" s="6"/>
      <c r="B12" s="6"/>
      <c r="C12" s="6"/>
      <c r="D12" s="7"/>
      <c r="E12" s="6"/>
      <c r="F12" s="8"/>
      <c r="G12" s="8"/>
      <c r="H12" s="8"/>
      <c r="I12" s="9"/>
      <c r="J12" s="9"/>
      <c r="K12" s="9"/>
      <c r="L12" s="9"/>
    </row>
    <row r="13" spans="1:12" x14ac:dyDescent="0.25">
      <c r="B13" s="9"/>
      <c r="E13" s="6"/>
      <c r="F13" s="6"/>
      <c r="G13" s="6"/>
      <c r="H13" s="6"/>
      <c r="I13" s="9"/>
      <c r="J13" s="9"/>
      <c r="K13" s="9"/>
      <c r="L13" s="9"/>
    </row>
    <row r="14" spans="1:12" x14ac:dyDescent="0.25">
      <c r="E14" s="6"/>
      <c r="F14" s="6"/>
      <c r="G14" s="6"/>
      <c r="H14" s="6"/>
      <c r="I14" s="9"/>
      <c r="J14" s="9"/>
      <c r="K14" s="9"/>
      <c r="L14" s="9"/>
    </row>
    <row r="15" spans="1:12" x14ac:dyDescent="0.25">
      <c r="E15" s="6"/>
      <c r="F15" s="6"/>
      <c r="G15" s="6"/>
      <c r="H15" s="6"/>
      <c r="I15" s="9"/>
      <c r="J15" s="9"/>
      <c r="K15" s="9"/>
      <c r="L15" s="9"/>
    </row>
    <row r="16" spans="1:12" x14ac:dyDescent="0.25">
      <c r="E16" s="6"/>
      <c r="F16" s="6"/>
      <c r="G16" s="6"/>
      <c r="H16" s="6"/>
      <c r="I16" s="9"/>
      <c r="J16" s="9"/>
      <c r="K16" s="9"/>
      <c r="L16" s="9"/>
    </row>
    <row r="17" spans="5:12" x14ac:dyDescent="0.25">
      <c r="E17" s="9"/>
      <c r="F17" s="9"/>
      <c r="G17" s="9"/>
      <c r="H17" s="9"/>
      <c r="I17" s="9"/>
      <c r="J17" s="9"/>
      <c r="K17" s="9"/>
      <c r="L17" s="9"/>
    </row>
    <row r="18" spans="5:12" x14ac:dyDescent="0.25">
      <c r="E18" s="9"/>
      <c r="F18" s="9"/>
      <c r="G18" s="9"/>
      <c r="H18" s="9"/>
      <c r="I18" s="9"/>
      <c r="J18" s="9"/>
      <c r="K18" s="9"/>
      <c r="L18" s="9"/>
    </row>
    <row r="19" spans="5:12" x14ac:dyDescent="0.25">
      <c r="E19" s="9"/>
      <c r="F19" s="9"/>
      <c r="G19" s="9"/>
      <c r="H19" s="9"/>
      <c r="I19" s="9"/>
      <c r="J19" s="9"/>
      <c r="K19" s="9"/>
      <c r="L19" s="9"/>
    </row>
    <row r="20" spans="5:12" x14ac:dyDescent="0.25">
      <c r="E20" s="9"/>
      <c r="F20" s="9"/>
      <c r="G20" s="9"/>
      <c r="H20" s="9"/>
      <c r="I20" s="9"/>
      <c r="J20" s="9"/>
      <c r="K20" s="9"/>
      <c r="L20" s="9"/>
    </row>
    <row r="21" spans="5:12" x14ac:dyDescent="0.25">
      <c r="E21" s="9"/>
      <c r="F21" s="9"/>
      <c r="G21" s="9"/>
      <c r="H21" s="9"/>
      <c r="I21" s="9"/>
      <c r="J21" s="9"/>
      <c r="K21" s="9"/>
      <c r="L21" s="9"/>
    </row>
  </sheetData>
  <dataValidations count="1">
    <dataValidation type="list" allowBlank="1" showInputMessage="1" showErrorMessage="1" sqref="B2" xr:uid="{728E8910-170E-47EA-8B22-80DF4F60D1D7}">
      <formula1>"2024,2025"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DAF46E0-4EEA-4093-873D-D28B787D5869}">
          <x14:formula1>
            <xm:f>bank_financials_long!$C$10:$C$89</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D473-53A0-4F40-B2E0-51D2AFEA058D}">
  <dimension ref="A3:G28"/>
  <sheetViews>
    <sheetView workbookViewId="0">
      <selection activeCell="P11" sqref="P11"/>
    </sheetView>
  </sheetViews>
  <sheetFormatPr defaultRowHeight="15" x14ac:dyDescent="0.25"/>
  <cols>
    <col min="1" max="1" width="50.85546875" bestFit="1" customWidth="1"/>
    <col min="2" max="2" width="16.85546875" bestFit="1" customWidth="1"/>
    <col min="3" max="3" width="7.7109375" bestFit="1" customWidth="1"/>
    <col min="4" max="4" width="9.85546875" bestFit="1" customWidth="1"/>
    <col min="5" max="5" width="11" bestFit="1" customWidth="1"/>
    <col min="6" max="6" width="14.42578125" bestFit="1" customWidth="1"/>
    <col min="7" max="7" width="6.85546875" bestFit="1" customWidth="1"/>
    <col min="8" max="25" width="12" bestFit="1" customWidth="1"/>
    <col min="26" max="26" width="14.85546875" bestFit="1" customWidth="1"/>
    <col min="27" max="27" width="12.85546875" bestFit="1" customWidth="1"/>
    <col min="28" max="37" width="11" bestFit="1" customWidth="1"/>
    <col min="38" max="38" width="16" bestFit="1" customWidth="1"/>
    <col min="39" max="39" width="12" bestFit="1" customWidth="1"/>
    <col min="40" max="46" width="12.140625" bestFit="1" customWidth="1"/>
    <col min="47" max="47" width="15.42578125" bestFit="1" customWidth="1"/>
    <col min="48" max="48" width="9.85546875" bestFit="1" customWidth="1"/>
    <col min="49" max="49" width="6.85546875" bestFit="1" customWidth="1"/>
    <col min="50" max="50" width="9.7109375" bestFit="1" customWidth="1"/>
    <col min="51" max="51" width="9.42578125" bestFit="1" customWidth="1"/>
    <col min="52" max="52" width="14.85546875" bestFit="1" customWidth="1"/>
    <col min="53" max="53" width="12.85546875" bestFit="1" customWidth="1"/>
    <col min="54" max="56" width="10" bestFit="1" customWidth="1"/>
    <col min="57" max="63" width="11" bestFit="1" customWidth="1"/>
    <col min="64" max="64" width="15.42578125" bestFit="1" customWidth="1"/>
    <col min="65" max="65" width="9.85546875" bestFit="1" customWidth="1"/>
    <col min="66" max="66" width="6.85546875" bestFit="1" customWidth="1"/>
    <col min="67" max="67" width="9.7109375" bestFit="1" customWidth="1"/>
    <col min="68" max="68" width="9.42578125" bestFit="1" customWidth="1"/>
    <col min="69" max="69" width="16" bestFit="1" customWidth="1"/>
    <col min="70" max="70" width="11.28515625" bestFit="1" customWidth="1"/>
    <col min="71" max="71" width="12.140625" bestFit="1" customWidth="1"/>
    <col min="72" max="72" width="10.85546875" bestFit="1" customWidth="1"/>
    <col min="73" max="74" width="12.140625" bestFit="1" customWidth="1"/>
    <col min="75" max="75" width="10.85546875" bestFit="1" customWidth="1"/>
    <col min="76" max="77" width="12.140625" bestFit="1" customWidth="1"/>
    <col min="78" max="78" width="10.85546875" bestFit="1" customWidth="1"/>
    <col min="80" max="80" width="12.140625" bestFit="1" customWidth="1"/>
    <col min="81" max="81" width="10.85546875" bestFit="1" customWidth="1"/>
    <col min="82" max="83" width="12" bestFit="1" customWidth="1"/>
    <col min="84" max="84" width="11.85546875" bestFit="1" customWidth="1"/>
    <col min="85" max="86" width="12.140625" bestFit="1" customWidth="1"/>
    <col min="87" max="87" width="11.85546875" bestFit="1" customWidth="1"/>
    <col min="88" max="88" width="12.140625" bestFit="1" customWidth="1"/>
    <col min="89" max="89" width="11.140625" bestFit="1" customWidth="1"/>
    <col min="90" max="90" width="11.85546875" bestFit="1" customWidth="1"/>
    <col min="91" max="92" width="12" bestFit="1" customWidth="1"/>
    <col min="93" max="93" width="11.85546875" bestFit="1" customWidth="1"/>
    <col min="94" max="95" width="12" bestFit="1" customWidth="1"/>
    <col min="96" max="96" width="12.85546875" bestFit="1" customWidth="1"/>
    <col min="97" max="98" width="12" bestFit="1" customWidth="1"/>
    <col min="99" max="99" width="12.85546875" bestFit="1" customWidth="1"/>
    <col min="100" max="101" width="12.140625" bestFit="1" customWidth="1"/>
    <col min="102" max="102" width="12.85546875" bestFit="1" customWidth="1"/>
    <col min="103" max="103" width="14.85546875" bestFit="1" customWidth="1"/>
    <col min="104" max="104" width="12.85546875" bestFit="1" customWidth="1"/>
    <col min="105" max="105" width="11" bestFit="1" customWidth="1"/>
    <col min="106" max="106" width="10.85546875" bestFit="1" customWidth="1"/>
    <col min="107" max="108" width="11" bestFit="1" customWidth="1"/>
    <col min="109" max="109" width="10.85546875" bestFit="1" customWidth="1"/>
    <col min="110" max="111" width="11" bestFit="1" customWidth="1"/>
    <col min="112" max="112" width="10.85546875" bestFit="1" customWidth="1"/>
    <col min="113" max="113" width="10.7109375" bestFit="1" customWidth="1"/>
    <col min="114" max="114" width="11" bestFit="1" customWidth="1"/>
    <col min="115" max="115" width="10.85546875" bestFit="1" customWidth="1"/>
    <col min="116" max="117" width="10" bestFit="1" customWidth="1"/>
    <col min="118" max="118" width="11.85546875" bestFit="1" customWidth="1"/>
    <col min="119" max="120" width="11" bestFit="1" customWidth="1"/>
    <col min="121" max="121" width="11.85546875" bestFit="1" customWidth="1"/>
    <col min="122" max="123" width="11" bestFit="1" customWidth="1"/>
    <col min="124" max="124" width="11.85546875" bestFit="1" customWidth="1"/>
    <col min="125" max="125" width="10" bestFit="1" customWidth="1"/>
    <col min="126" max="126" width="11" bestFit="1" customWidth="1"/>
    <col min="127" max="127" width="11.85546875" bestFit="1" customWidth="1"/>
    <col min="128" max="129" width="11" bestFit="1" customWidth="1"/>
    <col min="130" max="130" width="12.85546875" bestFit="1" customWidth="1"/>
    <col min="131" max="132" width="10" bestFit="1" customWidth="1"/>
    <col min="133" max="133" width="12.85546875" bestFit="1" customWidth="1"/>
    <col min="134" max="135" width="11" bestFit="1" customWidth="1"/>
    <col min="136" max="136" width="12.85546875" bestFit="1" customWidth="1"/>
    <col min="137" max="137" width="16" bestFit="1" customWidth="1"/>
    <col min="138" max="138" width="11.28515625" bestFit="1" customWidth="1"/>
  </cols>
  <sheetData>
    <row r="3" spans="1:7" x14ac:dyDescent="0.25">
      <c r="A3" s="12" t="s">
        <v>58</v>
      </c>
      <c r="B3" s="12" t="s">
        <v>54</v>
      </c>
      <c r="C3" s="12"/>
      <c r="D3" s="12"/>
      <c r="E3" s="12"/>
      <c r="F3" s="12"/>
      <c r="G3" s="12"/>
    </row>
    <row r="4" spans="1:7" x14ac:dyDescent="0.25">
      <c r="A4" s="12" t="s">
        <v>51</v>
      </c>
      <c r="B4" s="12" t="s">
        <v>13</v>
      </c>
      <c r="C4" s="12" t="s">
        <v>16</v>
      </c>
      <c r="D4" s="12" t="s">
        <v>15</v>
      </c>
      <c r="E4" s="12" t="s">
        <v>18</v>
      </c>
      <c r="F4" s="16" t="s">
        <v>57</v>
      </c>
      <c r="G4" s="16" t="s">
        <v>56</v>
      </c>
    </row>
    <row r="5" spans="1:7" x14ac:dyDescent="0.25">
      <c r="A5" s="13" t="s">
        <v>52</v>
      </c>
      <c r="B5" s="31"/>
      <c r="C5" s="31"/>
      <c r="D5" s="31"/>
      <c r="E5" s="31"/>
      <c r="F5" s="14" t="str">
        <f>IFERROR(B5/C5,"")</f>
        <v/>
      </c>
      <c r="G5" s="15" t="str">
        <f>IFERROR(E5/B5,"")</f>
        <v/>
      </c>
    </row>
    <row r="6" spans="1:7" x14ac:dyDescent="0.25">
      <c r="A6" s="5" t="s">
        <v>11</v>
      </c>
      <c r="B6" s="32">
        <v>223720000000</v>
      </c>
      <c r="C6" s="32">
        <v>22228000000</v>
      </c>
      <c r="D6" s="32">
        <v>201492000000</v>
      </c>
      <c r="E6" s="32">
        <v>2777000000</v>
      </c>
      <c r="F6" s="17">
        <f t="shared" ref="F6:F28" si="0">IFERROR(B6/C6,"")</f>
        <v>10.064783156379342</v>
      </c>
      <c r="G6" s="18">
        <f t="shared" ref="G6:G28" si="1">IFERROR(E6/B6,"")</f>
        <v>1.2412837475415698E-2</v>
      </c>
    </row>
    <row r="7" spans="1:7" x14ac:dyDescent="0.25">
      <c r="A7" s="3" t="s">
        <v>36</v>
      </c>
      <c r="B7" s="33">
        <v>217521000000</v>
      </c>
      <c r="C7" s="33">
        <v>24254000000</v>
      </c>
      <c r="D7" s="33">
        <v>193267000000</v>
      </c>
      <c r="E7" s="33">
        <v>1509000000</v>
      </c>
      <c r="F7" s="10">
        <f t="shared" si="0"/>
        <v>8.9684588109177863</v>
      </c>
      <c r="G7" s="11">
        <f t="shared" si="1"/>
        <v>6.9372612299502118E-3</v>
      </c>
    </row>
    <row r="8" spans="1:7" x14ac:dyDescent="0.25">
      <c r="A8" s="3" t="s">
        <v>45</v>
      </c>
      <c r="B8" s="33">
        <v>75976475000</v>
      </c>
      <c r="C8" s="33">
        <v>7723054000</v>
      </c>
      <c r="D8" s="33">
        <v>68253421000</v>
      </c>
      <c r="E8" s="33">
        <v>1165586000</v>
      </c>
      <c r="F8" s="10">
        <f t="shared" si="0"/>
        <v>9.8376205837742425</v>
      </c>
      <c r="G8" s="11">
        <f t="shared" si="1"/>
        <v>1.5341406665681713E-2</v>
      </c>
    </row>
    <row r="9" spans="1:7" x14ac:dyDescent="0.25">
      <c r="A9" s="3" t="s">
        <v>23</v>
      </c>
      <c r="B9" s="33">
        <v>212927000000</v>
      </c>
      <c r="C9" s="33">
        <v>19645000000</v>
      </c>
      <c r="D9" s="33">
        <v>193282000000</v>
      </c>
      <c r="E9" s="33">
        <v>2314000000</v>
      </c>
      <c r="F9" s="10">
        <f t="shared" si="0"/>
        <v>10.838737592262662</v>
      </c>
      <c r="G9" s="11">
        <f t="shared" si="1"/>
        <v>1.0867574332987361E-2</v>
      </c>
    </row>
    <row r="10" spans="1:7" x14ac:dyDescent="0.25">
      <c r="A10" s="3" t="s">
        <v>26</v>
      </c>
      <c r="B10" s="33">
        <v>204230000000</v>
      </c>
      <c r="C10" s="33">
        <v>19782000000</v>
      </c>
      <c r="D10" s="33">
        <v>184448000000</v>
      </c>
      <c r="E10" s="33">
        <v>1940000000</v>
      </c>
      <c r="F10" s="10">
        <f t="shared" si="0"/>
        <v>10.324031948235771</v>
      </c>
      <c r="G10" s="11">
        <f t="shared" si="1"/>
        <v>9.4990941585467361E-3</v>
      </c>
    </row>
    <row r="11" spans="1:7" x14ac:dyDescent="0.25">
      <c r="A11" s="3" t="s">
        <v>33</v>
      </c>
      <c r="B11" s="33">
        <v>187168000000</v>
      </c>
      <c r="C11" s="33">
        <v>18176000000</v>
      </c>
      <c r="D11" s="33">
        <v>168992000000</v>
      </c>
      <c r="E11" s="33">
        <v>-161000000</v>
      </c>
      <c r="F11" s="10">
        <f t="shared" si="0"/>
        <v>10.297535211267606</v>
      </c>
      <c r="G11" s="11">
        <f t="shared" si="1"/>
        <v>-8.6018977603009058E-4</v>
      </c>
    </row>
    <row r="12" spans="1:7" x14ac:dyDescent="0.25">
      <c r="A12" s="3" t="s">
        <v>20</v>
      </c>
      <c r="B12" s="33">
        <v>208105000000</v>
      </c>
      <c r="C12" s="33">
        <v>29027000000</v>
      </c>
      <c r="D12" s="33">
        <v>179078000000</v>
      </c>
      <c r="E12" s="33">
        <v>2588000000</v>
      </c>
      <c r="F12" s="10">
        <f t="shared" si="0"/>
        <v>7.1693595617873012</v>
      </c>
      <c r="G12" s="11">
        <f t="shared" si="1"/>
        <v>1.2436029888758079E-2</v>
      </c>
    </row>
    <row r="13" spans="1:7" x14ac:dyDescent="0.25">
      <c r="A13" s="3" t="s">
        <v>30</v>
      </c>
      <c r="B13" s="33">
        <v>157302000000</v>
      </c>
      <c r="C13" s="33">
        <v>17910000000</v>
      </c>
      <c r="D13" s="33">
        <v>139392000000</v>
      </c>
      <c r="E13" s="33">
        <v>1893000000</v>
      </c>
      <c r="F13" s="10">
        <f t="shared" si="0"/>
        <v>8.7829145728643212</v>
      </c>
      <c r="G13" s="11">
        <f t="shared" si="1"/>
        <v>1.2034176297822025E-2</v>
      </c>
    </row>
    <row r="14" spans="1:7" x14ac:dyDescent="0.25">
      <c r="A14" s="3" t="s">
        <v>48</v>
      </c>
      <c r="B14" s="33">
        <v>79025073000</v>
      </c>
      <c r="C14" s="33">
        <v>9133214000</v>
      </c>
      <c r="D14" s="33">
        <v>69891859000</v>
      </c>
      <c r="E14" s="33">
        <v>768707000</v>
      </c>
      <c r="F14" s="10">
        <f t="shared" si="0"/>
        <v>8.6524933062994034</v>
      </c>
      <c r="G14" s="11">
        <f t="shared" si="1"/>
        <v>9.7273810806856199E-3</v>
      </c>
    </row>
    <row r="15" spans="1:7" x14ac:dyDescent="0.25">
      <c r="A15" s="3" t="s">
        <v>42</v>
      </c>
      <c r="B15" s="33">
        <v>80934000000</v>
      </c>
      <c r="C15" s="33">
        <v>6707500000</v>
      </c>
      <c r="D15" s="33">
        <v>74227000000</v>
      </c>
      <c r="E15" s="33">
        <v>787700000</v>
      </c>
      <c r="F15" s="10">
        <f t="shared" si="0"/>
        <v>12.066194558330228</v>
      </c>
      <c r="G15" s="11">
        <f t="shared" si="1"/>
        <v>9.7326216423258456E-3</v>
      </c>
    </row>
    <row r="16" spans="1:7" x14ac:dyDescent="0.25">
      <c r="A16" s="3" t="s">
        <v>39</v>
      </c>
      <c r="B16" s="33">
        <v>88775000000</v>
      </c>
      <c r="C16" s="33">
        <v>6124000000</v>
      </c>
      <c r="D16" s="33">
        <v>82651000000</v>
      </c>
      <c r="E16" s="33">
        <v>784000000</v>
      </c>
      <c r="F16" s="10">
        <f t="shared" si="0"/>
        <v>14.49624428478119</v>
      </c>
      <c r="G16" s="11">
        <f t="shared" si="1"/>
        <v>8.8313151225007033E-3</v>
      </c>
    </row>
    <row r="17" spans="1:7" x14ac:dyDescent="0.25">
      <c r="A17" s="13" t="s">
        <v>53</v>
      </c>
      <c r="B17" s="31"/>
      <c r="C17" s="31"/>
      <c r="D17" s="31"/>
      <c r="E17" s="31"/>
      <c r="F17" s="14" t="str">
        <f t="shared" si="0"/>
        <v/>
      </c>
      <c r="G17" s="15" t="str">
        <f t="shared" si="1"/>
        <v/>
      </c>
    </row>
    <row r="18" spans="1:7" x14ac:dyDescent="0.25">
      <c r="A18" s="5" t="s">
        <v>11</v>
      </c>
      <c r="B18" s="32">
        <v>229698000000</v>
      </c>
      <c r="C18" s="32">
        <v>22238000000</v>
      </c>
      <c r="D18" s="32">
        <v>207460000000</v>
      </c>
      <c r="E18" s="32">
        <v>2206000000</v>
      </c>
      <c r="F18" s="17">
        <f t="shared" si="0"/>
        <v>10.329076355787391</v>
      </c>
      <c r="G18" s="18">
        <f t="shared" si="1"/>
        <v>9.6039147053957798E-3</v>
      </c>
    </row>
    <row r="19" spans="1:7" x14ac:dyDescent="0.25">
      <c r="A19" s="3" t="s">
        <v>36</v>
      </c>
      <c r="B19" s="33">
        <v>226351000000</v>
      </c>
      <c r="C19" s="33">
        <v>26317000000</v>
      </c>
      <c r="D19" s="33">
        <v>200034000000</v>
      </c>
      <c r="E19" s="33">
        <v>1831000000</v>
      </c>
      <c r="F19" s="10">
        <f t="shared" si="0"/>
        <v>8.6009423566515935</v>
      </c>
      <c r="G19" s="11">
        <f t="shared" si="1"/>
        <v>8.089206586231119E-3</v>
      </c>
    </row>
    <row r="20" spans="1:7" x14ac:dyDescent="0.25">
      <c r="A20" s="3" t="s">
        <v>45</v>
      </c>
      <c r="B20" s="33">
        <v>80434997000</v>
      </c>
      <c r="C20" s="33">
        <v>8899202000</v>
      </c>
      <c r="D20" s="33">
        <v>71535795000</v>
      </c>
      <c r="E20" s="33">
        <v>1325188000</v>
      </c>
      <c r="F20" s="10">
        <f t="shared" si="0"/>
        <v>9.0384505262381953</v>
      </c>
      <c r="G20" s="11">
        <f t="shared" si="1"/>
        <v>1.6475266357006267E-2</v>
      </c>
    </row>
    <row r="21" spans="1:7" x14ac:dyDescent="0.25">
      <c r="A21" s="3" t="s">
        <v>23</v>
      </c>
      <c r="B21" s="33">
        <v>214376000000</v>
      </c>
      <c r="C21" s="33">
        <v>21724000000</v>
      </c>
      <c r="D21" s="33">
        <v>192652000000</v>
      </c>
      <c r="E21" s="33">
        <v>2522000000</v>
      </c>
      <c r="F21" s="10">
        <f t="shared" si="0"/>
        <v>9.8681642423126501</v>
      </c>
      <c r="G21" s="11">
        <f t="shared" si="1"/>
        <v>1.1764376609321938E-2</v>
      </c>
    </row>
    <row r="22" spans="1:7" x14ac:dyDescent="0.25">
      <c r="A22" s="3" t="s">
        <v>26</v>
      </c>
      <c r="B22" s="33">
        <v>225106000000</v>
      </c>
      <c r="C22" s="33">
        <v>24379000000</v>
      </c>
      <c r="D22" s="33">
        <v>200727000000</v>
      </c>
      <c r="E22" s="33">
        <v>2211000000</v>
      </c>
      <c r="F22" s="10">
        <f t="shared" si="0"/>
        <v>9.2336026908404776</v>
      </c>
      <c r="G22" s="11">
        <f t="shared" si="1"/>
        <v>9.8220393947740167E-3</v>
      </c>
    </row>
    <row r="23" spans="1:7" x14ac:dyDescent="0.25">
      <c r="A23" s="3" t="s">
        <v>33</v>
      </c>
      <c r="B23" s="33">
        <v>184381000000</v>
      </c>
      <c r="C23" s="33">
        <v>20381000000</v>
      </c>
      <c r="D23" s="33">
        <v>164000000000</v>
      </c>
      <c r="E23" s="33">
        <v>1829000000</v>
      </c>
      <c r="F23" s="10">
        <f t="shared" si="0"/>
        <v>9.0467101712379172</v>
      </c>
      <c r="G23" s="11">
        <f t="shared" si="1"/>
        <v>9.9196771901660149E-3</v>
      </c>
    </row>
    <row r="24" spans="1:7" x14ac:dyDescent="0.25">
      <c r="A24" s="3" t="s">
        <v>20</v>
      </c>
      <c r="B24" s="33">
        <v>213510000000</v>
      </c>
      <c r="C24" s="33">
        <v>29177000000</v>
      </c>
      <c r="D24" s="33">
        <v>184333000000</v>
      </c>
      <c r="E24" s="33">
        <v>2851000000</v>
      </c>
      <c r="F24" s="10">
        <f t="shared" si="0"/>
        <v>7.3177502827569665</v>
      </c>
      <c r="G24" s="11">
        <f t="shared" si="1"/>
        <v>1.3353004543112735E-2</v>
      </c>
    </row>
    <row r="25" spans="1:7" x14ac:dyDescent="0.25">
      <c r="A25" s="3" t="s">
        <v>30</v>
      </c>
      <c r="B25" s="33">
        <v>158814000000</v>
      </c>
      <c r="C25" s="33">
        <v>19103000000</v>
      </c>
      <c r="D25" s="33">
        <v>139711000000</v>
      </c>
      <c r="E25" s="33">
        <v>2156000000</v>
      </c>
      <c r="F25" s="10">
        <f t="shared" si="0"/>
        <v>8.313563314662618</v>
      </c>
      <c r="G25" s="11">
        <f t="shared" si="1"/>
        <v>1.3575629352575969E-2</v>
      </c>
    </row>
    <row r="26" spans="1:7" x14ac:dyDescent="0.25">
      <c r="A26" s="3" t="s">
        <v>48</v>
      </c>
      <c r="B26" s="33">
        <v>84073663000</v>
      </c>
      <c r="C26" s="33">
        <v>9492236000</v>
      </c>
      <c r="D26" s="33">
        <v>74581427000</v>
      </c>
      <c r="E26" s="33">
        <v>1002802000</v>
      </c>
      <c r="F26" s="10">
        <f t="shared" si="0"/>
        <v>8.8570978429107754</v>
      </c>
      <c r="G26" s="11">
        <f t="shared" si="1"/>
        <v>1.1927659200479942E-2</v>
      </c>
    </row>
    <row r="27" spans="1:7" x14ac:dyDescent="0.25">
      <c r="A27" s="3" t="s">
        <v>42</v>
      </c>
      <c r="B27" s="33">
        <v>92774000000</v>
      </c>
      <c r="C27" s="33">
        <v>7945900000</v>
      </c>
      <c r="D27" s="33">
        <v>84828000000</v>
      </c>
      <c r="E27" s="33">
        <v>969000000</v>
      </c>
      <c r="F27" s="10">
        <f t="shared" si="0"/>
        <v>11.675706968373627</v>
      </c>
      <c r="G27" s="11">
        <f t="shared" si="1"/>
        <v>1.044473667191239E-2</v>
      </c>
    </row>
    <row r="28" spans="1:7" x14ac:dyDescent="0.25">
      <c r="A28" s="3" t="s">
        <v>39</v>
      </c>
      <c r="B28" s="33">
        <v>88990000000</v>
      </c>
      <c r="C28" s="33">
        <v>7180000000</v>
      </c>
      <c r="D28" s="33">
        <v>81810000000</v>
      </c>
      <c r="E28" s="33">
        <v>899000000</v>
      </c>
      <c r="F28" s="10">
        <f t="shared" si="0"/>
        <v>12.394150417827298</v>
      </c>
      <c r="G28" s="11">
        <f t="shared" si="1"/>
        <v>1.0102258680750646E-2</v>
      </c>
    </row>
  </sheetData>
  <conditionalFormatting sqref="G5:G28">
    <cfRule type="colorScale" priority="2">
      <colorScale>
        <cfvo type="min"/>
        <cfvo type="percentile" val="50"/>
        <cfvo type="max"/>
        <color rgb="FFF8696B"/>
        <color rgb="FFFFEB84"/>
        <color rgb="FF63BE7B"/>
      </colorScale>
    </cfRule>
  </conditionalFormatting>
  <conditionalFormatting sqref="F6:F28">
    <cfRule type="colorScale" priority="1">
      <colorScale>
        <cfvo type="min"/>
        <cfvo type="percentile" val="50"/>
        <cfvo type="max"/>
        <color rgb="FF63BE7B"/>
        <color rgb="FFFFEB84"/>
        <color rgb="FFF8696B"/>
      </colorScale>
    </cfRule>
  </conditionalFormatting>
  <conditionalFormatting sqref="A5:A28 F5:G28">
    <cfRule type="expression" dxfId="60" priority="3">
      <formula>$A5="FIRST CITIZENS BANCSHARES INC /DE/"</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B707-B947-4A3A-9F89-97D15E1EFA38}">
  <dimension ref="A1:K89"/>
  <sheetViews>
    <sheetView workbookViewId="0">
      <selection activeCell="D21" sqref="D21"/>
    </sheetView>
  </sheetViews>
  <sheetFormatPr defaultRowHeight="15" x14ac:dyDescent="0.25"/>
  <cols>
    <col min="1" max="1" width="47.140625" bestFit="1" customWidth="1"/>
    <col min="2" max="2" width="8" bestFit="1" customWidth="1"/>
    <col min="3" max="3" width="8.42578125" bestFit="1" customWidth="1"/>
    <col min="4" max="4" width="12.85546875" bestFit="1" customWidth="1"/>
    <col min="5" max="5" width="10.5703125" bestFit="1" customWidth="1"/>
    <col min="6" max="6" width="20" bestFit="1" customWidth="1"/>
    <col min="7" max="7" width="66.5703125" bestFit="1" customWidth="1"/>
    <col min="8" max="8" width="11.5703125" bestFit="1" customWidth="1"/>
    <col min="9" max="9" width="9.42578125" bestFit="1" customWidth="1"/>
    <col min="10" max="10" width="20.7109375" bestFit="1" customWidth="1"/>
    <col min="11" max="11" width="9"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s="1" t="s">
        <v>11</v>
      </c>
      <c r="B2">
        <v>798941</v>
      </c>
      <c r="C2" s="1" t="s">
        <v>12</v>
      </c>
      <c r="D2">
        <v>2024</v>
      </c>
      <c r="E2" s="1" t="s">
        <v>13</v>
      </c>
      <c r="F2" s="4">
        <v>223720000000</v>
      </c>
      <c r="G2" s="1" t="s">
        <v>13</v>
      </c>
      <c r="H2" s="2">
        <v>45657</v>
      </c>
      <c r="I2" s="2">
        <v>46077</v>
      </c>
      <c r="J2" s="1" t="s">
        <v>14</v>
      </c>
      <c r="K2">
        <v>2025</v>
      </c>
    </row>
    <row r="3" spans="1:11" x14ac:dyDescent="0.25">
      <c r="A3" s="1" t="s">
        <v>11</v>
      </c>
      <c r="B3">
        <v>798941</v>
      </c>
      <c r="C3" s="1" t="s">
        <v>12</v>
      </c>
      <c r="D3">
        <v>2025</v>
      </c>
      <c r="E3" s="1" t="s">
        <v>13</v>
      </c>
      <c r="F3" s="4">
        <v>229698000000</v>
      </c>
      <c r="G3" s="1" t="s">
        <v>13</v>
      </c>
      <c r="H3" s="2">
        <v>46022</v>
      </c>
      <c r="I3" s="2">
        <v>46077</v>
      </c>
      <c r="J3" s="1" t="s">
        <v>14</v>
      </c>
      <c r="K3">
        <v>2025</v>
      </c>
    </row>
    <row r="4" spans="1:11" x14ac:dyDescent="0.25">
      <c r="A4" s="1" t="s">
        <v>11</v>
      </c>
      <c r="B4">
        <v>798941</v>
      </c>
      <c r="C4" s="1" t="s">
        <v>12</v>
      </c>
      <c r="D4">
        <v>2024</v>
      </c>
      <c r="E4" s="1" t="s">
        <v>15</v>
      </c>
      <c r="F4" s="4">
        <v>201492000000</v>
      </c>
      <c r="G4" s="1" t="s">
        <v>15</v>
      </c>
      <c r="H4" s="2">
        <v>45657</v>
      </c>
      <c r="I4" s="2">
        <v>46077</v>
      </c>
      <c r="J4" s="1" t="s">
        <v>14</v>
      </c>
      <c r="K4">
        <v>2025</v>
      </c>
    </row>
    <row r="5" spans="1:11" x14ac:dyDescent="0.25">
      <c r="A5" s="1" t="s">
        <v>11</v>
      </c>
      <c r="B5">
        <v>798941</v>
      </c>
      <c r="C5" s="1" t="s">
        <v>12</v>
      </c>
      <c r="D5">
        <v>2025</v>
      </c>
      <c r="E5" s="1" t="s">
        <v>15</v>
      </c>
      <c r="F5" s="4">
        <v>207460000000</v>
      </c>
      <c r="G5" s="1" t="s">
        <v>15</v>
      </c>
      <c r="H5" s="2">
        <v>46022</v>
      </c>
      <c r="I5" s="2">
        <v>46077</v>
      </c>
      <c r="J5" s="1" t="s">
        <v>14</v>
      </c>
      <c r="K5">
        <v>2025</v>
      </c>
    </row>
    <row r="6" spans="1:11" x14ac:dyDescent="0.25">
      <c r="A6" s="1" t="s">
        <v>11</v>
      </c>
      <c r="B6">
        <v>798941</v>
      </c>
      <c r="C6" s="1" t="s">
        <v>12</v>
      </c>
      <c r="D6">
        <v>2024</v>
      </c>
      <c r="E6" s="1" t="s">
        <v>16</v>
      </c>
      <c r="F6" s="4">
        <v>22228000000</v>
      </c>
      <c r="G6" s="1" t="s">
        <v>17</v>
      </c>
      <c r="H6" s="2">
        <v>45657</v>
      </c>
      <c r="I6" s="2">
        <v>46077</v>
      </c>
      <c r="J6" s="1" t="s">
        <v>14</v>
      </c>
      <c r="K6">
        <v>2025</v>
      </c>
    </row>
    <row r="7" spans="1:11" x14ac:dyDescent="0.25">
      <c r="A7" s="1" t="s">
        <v>11</v>
      </c>
      <c r="B7">
        <v>798941</v>
      </c>
      <c r="C7" s="1" t="s">
        <v>12</v>
      </c>
      <c r="D7">
        <v>2025</v>
      </c>
      <c r="E7" s="1" t="s">
        <v>16</v>
      </c>
      <c r="F7" s="4">
        <v>22238000000</v>
      </c>
      <c r="G7" s="1" t="s">
        <v>17</v>
      </c>
      <c r="H7" s="2">
        <v>46022</v>
      </c>
      <c r="I7" s="2">
        <v>46077</v>
      </c>
      <c r="J7" s="1" t="s">
        <v>14</v>
      </c>
      <c r="K7">
        <v>2025</v>
      </c>
    </row>
    <row r="8" spans="1:11" x14ac:dyDescent="0.25">
      <c r="A8" s="1" t="s">
        <v>11</v>
      </c>
      <c r="B8">
        <v>798941</v>
      </c>
      <c r="C8" s="1" t="s">
        <v>12</v>
      </c>
      <c r="D8">
        <v>2024</v>
      </c>
      <c r="E8" s="1" t="s">
        <v>18</v>
      </c>
      <c r="F8" s="4">
        <v>2777000000</v>
      </c>
      <c r="G8" s="1" t="s">
        <v>19</v>
      </c>
      <c r="H8" s="2">
        <v>45657</v>
      </c>
      <c r="I8" s="2">
        <v>46077</v>
      </c>
      <c r="J8" s="1" t="s">
        <v>14</v>
      </c>
      <c r="K8">
        <v>2025</v>
      </c>
    </row>
    <row r="9" spans="1:11" x14ac:dyDescent="0.25">
      <c r="A9" s="1" t="s">
        <v>11</v>
      </c>
      <c r="B9">
        <v>798941</v>
      </c>
      <c r="C9" s="1" t="s">
        <v>12</v>
      </c>
      <c r="D9">
        <v>2025</v>
      </c>
      <c r="E9" s="1" t="s">
        <v>18</v>
      </c>
      <c r="F9" s="4">
        <v>2206000000</v>
      </c>
      <c r="G9" s="1" t="s">
        <v>19</v>
      </c>
      <c r="H9" s="2">
        <v>46022</v>
      </c>
      <c r="I9" s="2">
        <v>46077</v>
      </c>
      <c r="J9" s="1" t="s">
        <v>14</v>
      </c>
      <c r="K9">
        <v>2025</v>
      </c>
    </row>
    <row r="10" spans="1:11" x14ac:dyDescent="0.25">
      <c r="A10" s="1" t="s">
        <v>20</v>
      </c>
      <c r="B10">
        <v>36270</v>
      </c>
      <c r="C10" s="1" t="s">
        <v>21</v>
      </c>
      <c r="D10">
        <v>2024</v>
      </c>
      <c r="E10" s="1" t="s">
        <v>13</v>
      </c>
      <c r="F10" s="4">
        <v>208105000000</v>
      </c>
      <c r="G10" s="1" t="s">
        <v>13</v>
      </c>
      <c r="H10" s="2">
        <v>45657</v>
      </c>
      <c r="I10" s="2">
        <v>46071</v>
      </c>
      <c r="J10" s="1" t="s">
        <v>22</v>
      </c>
      <c r="K10">
        <v>2025</v>
      </c>
    </row>
    <row r="11" spans="1:11" x14ac:dyDescent="0.25">
      <c r="A11" s="1" t="s">
        <v>20</v>
      </c>
      <c r="B11">
        <v>36270</v>
      </c>
      <c r="C11" s="1" t="s">
        <v>21</v>
      </c>
      <c r="D11">
        <v>2025</v>
      </c>
      <c r="E11" s="1" t="s">
        <v>13</v>
      </c>
      <c r="F11" s="4">
        <v>213510000000</v>
      </c>
      <c r="G11" s="1" t="s">
        <v>13</v>
      </c>
      <c r="H11" s="2">
        <v>46022</v>
      </c>
      <c r="I11" s="2">
        <v>46071</v>
      </c>
      <c r="J11" s="1" t="s">
        <v>22</v>
      </c>
      <c r="K11">
        <v>2025</v>
      </c>
    </row>
    <row r="12" spans="1:11" x14ac:dyDescent="0.25">
      <c r="A12" s="1" t="s">
        <v>20</v>
      </c>
      <c r="B12">
        <v>36270</v>
      </c>
      <c r="C12" s="1" t="s">
        <v>21</v>
      </c>
      <c r="D12">
        <v>2024</v>
      </c>
      <c r="E12" s="1" t="s">
        <v>15</v>
      </c>
      <c r="F12" s="4">
        <v>179078000000</v>
      </c>
      <c r="G12" s="1" t="s">
        <v>15</v>
      </c>
      <c r="H12" s="2">
        <v>45657</v>
      </c>
      <c r="I12" s="2">
        <v>46071</v>
      </c>
      <c r="J12" s="1" t="s">
        <v>22</v>
      </c>
      <c r="K12">
        <v>2025</v>
      </c>
    </row>
    <row r="13" spans="1:11" x14ac:dyDescent="0.25">
      <c r="A13" s="1" t="s">
        <v>20</v>
      </c>
      <c r="B13">
        <v>36270</v>
      </c>
      <c r="C13" s="1" t="s">
        <v>21</v>
      </c>
      <c r="D13">
        <v>2025</v>
      </c>
      <c r="E13" s="1" t="s">
        <v>15</v>
      </c>
      <c r="F13" s="4">
        <v>184333000000</v>
      </c>
      <c r="G13" s="1" t="s">
        <v>15</v>
      </c>
      <c r="H13" s="2">
        <v>46022</v>
      </c>
      <c r="I13" s="2">
        <v>46071</v>
      </c>
      <c r="J13" s="1" t="s">
        <v>22</v>
      </c>
      <c r="K13">
        <v>2025</v>
      </c>
    </row>
    <row r="14" spans="1:11" x14ac:dyDescent="0.25">
      <c r="A14" s="1" t="s">
        <v>20</v>
      </c>
      <c r="B14">
        <v>36270</v>
      </c>
      <c r="C14" s="1" t="s">
        <v>21</v>
      </c>
      <c r="D14">
        <v>2024</v>
      </c>
      <c r="E14" s="1" t="s">
        <v>16</v>
      </c>
      <c r="F14" s="4">
        <v>29027000000</v>
      </c>
      <c r="G14" s="1" t="s">
        <v>17</v>
      </c>
      <c r="H14" s="2">
        <v>45657</v>
      </c>
      <c r="I14" s="2">
        <v>46071</v>
      </c>
      <c r="J14" s="1" t="s">
        <v>22</v>
      </c>
      <c r="K14">
        <v>2025</v>
      </c>
    </row>
    <row r="15" spans="1:11" x14ac:dyDescent="0.25">
      <c r="A15" s="1" t="s">
        <v>20</v>
      </c>
      <c r="B15">
        <v>36270</v>
      </c>
      <c r="C15" s="1" t="s">
        <v>21</v>
      </c>
      <c r="D15">
        <v>2025</v>
      </c>
      <c r="E15" s="1" t="s">
        <v>16</v>
      </c>
      <c r="F15" s="4">
        <v>29177000000</v>
      </c>
      <c r="G15" s="1" t="s">
        <v>17</v>
      </c>
      <c r="H15" s="2">
        <v>46022</v>
      </c>
      <c r="I15" s="2">
        <v>46071</v>
      </c>
      <c r="J15" s="1" t="s">
        <v>22</v>
      </c>
      <c r="K15">
        <v>2025</v>
      </c>
    </row>
    <row r="16" spans="1:11" x14ac:dyDescent="0.25">
      <c r="A16" s="1" t="s">
        <v>20</v>
      </c>
      <c r="B16">
        <v>36270</v>
      </c>
      <c r="C16" s="1" t="s">
        <v>21</v>
      </c>
      <c r="D16">
        <v>2024</v>
      </c>
      <c r="E16" s="1" t="s">
        <v>18</v>
      </c>
      <c r="F16" s="4">
        <v>2588000000</v>
      </c>
      <c r="G16" s="1" t="s">
        <v>19</v>
      </c>
      <c r="H16" s="2">
        <v>45657</v>
      </c>
      <c r="I16" s="2">
        <v>46071</v>
      </c>
      <c r="J16" s="1" t="s">
        <v>22</v>
      </c>
      <c r="K16">
        <v>2025</v>
      </c>
    </row>
    <row r="17" spans="1:11" x14ac:dyDescent="0.25">
      <c r="A17" s="1" t="s">
        <v>20</v>
      </c>
      <c r="B17">
        <v>36270</v>
      </c>
      <c r="C17" s="1" t="s">
        <v>21</v>
      </c>
      <c r="D17">
        <v>2025</v>
      </c>
      <c r="E17" s="1" t="s">
        <v>18</v>
      </c>
      <c r="F17" s="4">
        <v>2851000000</v>
      </c>
      <c r="G17" s="1" t="s">
        <v>19</v>
      </c>
      <c r="H17" s="2">
        <v>46022</v>
      </c>
      <c r="I17" s="2">
        <v>46071</v>
      </c>
      <c r="J17" s="1" t="s">
        <v>22</v>
      </c>
      <c r="K17">
        <v>2025</v>
      </c>
    </row>
    <row r="18" spans="1:11" x14ac:dyDescent="0.25">
      <c r="A18" s="1" t="s">
        <v>23</v>
      </c>
      <c r="B18">
        <v>35527</v>
      </c>
      <c r="C18" s="1" t="s">
        <v>24</v>
      </c>
      <c r="D18">
        <v>2024</v>
      </c>
      <c r="E18" s="1" t="s">
        <v>13</v>
      </c>
      <c r="F18" s="4">
        <v>212927000000</v>
      </c>
      <c r="G18" s="1" t="s">
        <v>13</v>
      </c>
      <c r="H18" s="2">
        <v>45657</v>
      </c>
      <c r="I18" s="2">
        <v>46077</v>
      </c>
      <c r="J18" s="1" t="s">
        <v>25</v>
      </c>
      <c r="K18">
        <v>2025</v>
      </c>
    </row>
    <row r="19" spans="1:11" x14ac:dyDescent="0.25">
      <c r="A19" s="1" t="s">
        <v>23</v>
      </c>
      <c r="B19">
        <v>35527</v>
      </c>
      <c r="C19" s="1" t="s">
        <v>24</v>
      </c>
      <c r="D19">
        <v>2025</v>
      </c>
      <c r="E19" s="1" t="s">
        <v>13</v>
      </c>
      <c r="F19" s="4">
        <v>214376000000</v>
      </c>
      <c r="G19" s="1" t="s">
        <v>13</v>
      </c>
      <c r="H19" s="2">
        <v>46022</v>
      </c>
      <c r="I19" s="2">
        <v>46077</v>
      </c>
      <c r="J19" s="1" t="s">
        <v>25</v>
      </c>
      <c r="K19">
        <v>2025</v>
      </c>
    </row>
    <row r="20" spans="1:11" x14ac:dyDescent="0.25">
      <c r="A20" s="1" t="s">
        <v>23</v>
      </c>
      <c r="B20">
        <v>35527</v>
      </c>
      <c r="C20" s="1" t="s">
        <v>24</v>
      </c>
      <c r="D20">
        <v>2024</v>
      </c>
      <c r="E20" s="1" t="s">
        <v>15</v>
      </c>
      <c r="F20" s="4">
        <v>193282000000</v>
      </c>
      <c r="G20" s="1" t="s">
        <v>15</v>
      </c>
      <c r="H20" s="2">
        <v>45657</v>
      </c>
      <c r="I20" s="2">
        <v>46077</v>
      </c>
      <c r="J20" s="1" t="s">
        <v>25</v>
      </c>
      <c r="K20">
        <v>2025</v>
      </c>
    </row>
    <row r="21" spans="1:11" x14ac:dyDescent="0.25">
      <c r="A21" s="1" t="s">
        <v>23</v>
      </c>
      <c r="B21">
        <v>35527</v>
      </c>
      <c r="C21" s="1" t="s">
        <v>24</v>
      </c>
      <c r="D21">
        <v>2025</v>
      </c>
      <c r="E21" s="1" t="s">
        <v>15</v>
      </c>
      <c r="F21" s="4">
        <v>192652000000</v>
      </c>
      <c r="G21" s="1" t="s">
        <v>15</v>
      </c>
      <c r="H21" s="2">
        <v>46022</v>
      </c>
      <c r="I21" s="2">
        <v>46077</v>
      </c>
      <c r="J21" s="1" t="s">
        <v>25</v>
      </c>
      <c r="K21">
        <v>2025</v>
      </c>
    </row>
    <row r="22" spans="1:11" x14ac:dyDescent="0.25">
      <c r="A22" s="1" t="s">
        <v>23</v>
      </c>
      <c r="B22">
        <v>35527</v>
      </c>
      <c r="C22" s="1" t="s">
        <v>24</v>
      </c>
      <c r="D22">
        <v>2024</v>
      </c>
      <c r="E22" s="1" t="s">
        <v>16</v>
      </c>
      <c r="F22" s="4">
        <v>19645000000</v>
      </c>
      <c r="G22" s="1" t="s">
        <v>17</v>
      </c>
      <c r="H22" s="2">
        <v>45657</v>
      </c>
      <c r="I22" s="2">
        <v>46077</v>
      </c>
      <c r="J22" s="1" t="s">
        <v>25</v>
      </c>
      <c r="K22">
        <v>2025</v>
      </c>
    </row>
    <row r="23" spans="1:11" x14ac:dyDescent="0.25">
      <c r="A23" s="1" t="s">
        <v>23</v>
      </c>
      <c r="B23">
        <v>35527</v>
      </c>
      <c r="C23" s="1" t="s">
        <v>24</v>
      </c>
      <c r="D23">
        <v>2025</v>
      </c>
      <c r="E23" s="1" t="s">
        <v>16</v>
      </c>
      <c r="F23" s="4">
        <v>21724000000</v>
      </c>
      <c r="G23" s="1" t="s">
        <v>17</v>
      </c>
      <c r="H23" s="2">
        <v>46022</v>
      </c>
      <c r="I23" s="2">
        <v>46077</v>
      </c>
      <c r="J23" s="1" t="s">
        <v>25</v>
      </c>
      <c r="K23">
        <v>2025</v>
      </c>
    </row>
    <row r="24" spans="1:11" x14ac:dyDescent="0.25">
      <c r="A24" s="1" t="s">
        <v>23</v>
      </c>
      <c r="B24">
        <v>35527</v>
      </c>
      <c r="C24" s="1" t="s">
        <v>24</v>
      </c>
      <c r="D24">
        <v>2024</v>
      </c>
      <c r="E24" s="1" t="s">
        <v>18</v>
      </c>
      <c r="F24" s="4">
        <v>2314000000</v>
      </c>
      <c r="G24" s="1" t="s">
        <v>19</v>
      </c>
      <c r="H24" s="2">
        <v>45657</v>
      </c>
      <c r="I24" s="2">
        <v>46077</v>
      </c>
      <c r="J24" s="1" t="s">
        <v>25</v>
      </c>
      <c r="K24">
        <v>2025</v>
      </c>
    </row>
    <row r="25" spans="1:11" x14ac:dyDescent="0.25">
      <c r="A25" s="1" t="s">
        <v>23</v>
      </c>
      <c r="B25">
        <v>35527</v>
      </c>
      <c r="C25" s="1" t="s">
        <v>24</v>
      </c>
      <c r="D25">
        <v>2025</v>
      </c>
      <c r="E25" s="1" t="s">
        <v>18</v>
      </c>
      <c r="F25" s="4">
        <v>2522000000</v>
      </c>
      <c r="G25" s="1" t="s">
        <v>19</v>
      </c>
      <c r="H25" s="2">
        <v>46022</v>
      </c>
      <c r="I25" s="2">
        <v>46077</v>
      </c>
      <c r="J25" s="1" t="s">
        <v>25</v>
      </c>
      <c r="K25">
        <v>2025</v>
      </c>
    </row>
    <row r="26" spans="1:11" x14ac:dyDescent="0.25">
      <c r="A26" s="1" t="s">
        <v>26</v>
      </c>
      <c r="B26">
        <v>49196</v>
      </c>
      <c r="C26" s="1" t="s">
        <v>27</v>
      </c>
      <c r="D26">
        <v>2024</v>
      </c>
      <c r="E26" s="1" t="s">
        <v>13</v>
      </c>
      <c r="F26" s="4">
        <v>204230000000</v>
      </c>
      <c r="G26" s="1" t="s">
        <v>13</v>
      </c>
      <c r="H26" s="2">
        <v>45657</v>
      </c>
      <c r="I26" s="2">
        <v>46066</v>
      </c>
      <c r="J26" s="1" t="s">
        <v>28</v>
      </c>
      <c r="K26">
        <v>2025</v>
      </c>
    </row>
    <row r="27" spans="1:11" x14ac:dyDescent="0.25">
      <c r="A27" s="1" t="s">
        <v>26</v>
      </c>
      <c r="B27">
        <v>49196</v>
      </c>
      <c r="C27" s="1" t="s">
        <v>27</v>
      </c>
      <c r="D27">
        <v>2025</v>
      </c>
      <c r="E27" s="1" t="s">
        <v>13</v>
      </c>
      <c r="F27" s="4">
        <v>225106000000</v>
      </c>
      <c r="G27" s="1" t="s">
        <v>13</v>
      </c>
      <c r="H27" s="2">
        <v>46022</v>
      </c>
      <c r="I27" s="2">
        <v>46066</v>
      </c>
      <c r="J27" s="1" t="s">
        <v>28</v>
      </c>
      <c r="K27">
        <v>2025</v>
      </c>
    </row>
    <row r="28" spans="1:11" x14ac:dyDescent="0.25">
      <c r="A28" s="1" t="s">
        <v>26</v>
      </c>
      <c r="B28">
        <v>49196</v>
      </c>
      <c r="C28" s="1" t="s">
        <v>27</v>
      </c>
      <c r="D28">
        <v>2024</v>
      </c>
      <c r="E28" s="1" t="s">
        <v>15</v>
      </c>
      <c r="F28" s="4">
        <v>184448000000</v>
      </c>
      <c r="G28" s="1" t="s">
        <v>15</v>
      </c>
      <c r="H28" s="2">
        <v>45657</v>
      </c>
      <c r="I28" s="2">
        <v>46066</v>
      </c>
      <c r="J28" s="1" t="s">
        <v>28</v>
      </c>
      <c r="K28">
        <v>2025</v>
      </c>
    </row>
    <row r="29" spans="1:11" x14ac:dyDescent="0.25">
      <c r="A29" s="1" t="s">
        <v>26</v>
      </c>
      <c r="B29">
        <v>49196</v>
      </c>
      <c r="C29" s="1" t="s">
        <v>27</v>
      </c>
      <c r="D29">
        <v>2025</v>
      </c>
      <c r="E29" s="1" t="s">
        <v>15</v>
      </c>
      <c r="F29" s="4">
        <v>200727000000</v>
      </c>
      <c r="G29" s="1" t="s">
        <v>15</v>
      </c>
      <c r="H29" s="2">
        <v>46022</v>
      </c>
      <c r="I29" s="2">
        <v>46066</v>
      </c>
      <c r="J29" s="1" t="s">
        <v>28</v>
      </c>
      <c r="K29">
        <v>2025</v>
      </c>
    </row>
    <row r="30" spans="1:11" x14ac:dyDescent="0.25">
      <c r="A30" s="1" t="s">
        <v>26</v>
      </c>
      <c r="B30">
        <v>49196</v>
      </c>
      <c r="C30" s="1" t="s">
        <v>27</v>
      </c>
      <c r="D30">
        <v>2024</v>
      </c>
      <c r="E30" s="1" t="s">
        <v>16</v>
      </c>
      <c r="F30" s="4">
        <v>19782000000</v>
      </c>
      <c r="G30" s="1" t="s">
        <v>29</v>
      </c>
      <c r="H30" s="2">
        <v>45657</v>
      </c>
      <c r="I30" s="2">
        <v>46066</v>
      </c>
      <c r="J30" s="1" t="s">
        <v>28</v>
      </c>
      <c r="K30">
        <v>2025</v>
      </c>
    </row>
    <row r="31" spans="1:11" x14ac:dyDescent="0.25">
      <c r="A31" s="1" t="s">
        <v>26</v>
      </c>
      <c r="B31">
        <v>49196</v>
      </c>
      <c r="C31" s="1" t="s">
        <v>27</v>
      </c>
      <c r="D31">
        <v>2025</v>
      </c>
      <c r="E31" s="1" t="s">
        <v>16</v>
      </c>
      <c r="F31" s="4">
        <v>24379000000</v>
      </c>
      <c r="G31" s="1" t="s">
        <v>29</v>
      </c>
      <c r="H31" s="2">
        <v>46022</v>
      </c>
      <c r="I31" s="2">
        <v>46066</v>
      </c>
      <c r="J31" s="1" t="s">
        <v>28</v>
      </c>
      <c r="K31">
        <v>2025</v>
      </c>
    </row>
    <row r="32" spans="1:11" x14ac:dyDescent="0.25">
      <c r="A32" s="1" t="s">
        <v>26</v>
      </c>
      <c r="B32">
        <v>49196</v>
      </c>
      <c r="C32" s="1" t="s">
        <v>27</v>
      </c>
      <c r="D32">
        <v>2024</v>
      </c>
      <c r="E32" s="1" t="s">
        <v>18</v>
      </c>
      <c r="F32" s="4">
        <v>1940000000</v>
      </c>
      <c r="G32" s="1" t="s">
        <v>19</v>
      </c>
      <c r="H32" s="2">
        <v>45657</v>
      </c>
      <c r="I32" s="2">
        <v>46066</v>
      </c>
      <c r="J32" s="1" t="s">
        <v>28</v>
      </c>
      <c r="K32">
        <v>2025</v>
      </c>
    </row>
    <row r="33" spans="1:11" x14ac:dyDescent="0.25">
      <c r="A33" s="1" t="s">
        <v>26</v>
      </c>
      <c r="B33">
        <v>49196</v>
      </c>
      <c r="C33" s="1" t="s">
        <v>27</v>
      </c>
      <c r="D33">
        <v>2025</v>
      </c>
      <c r="E33" s="1" t="s">
        <v>18</v>
      </c>
      <c r="F33" s="4">
        <v>2211000000</v>
      </c>
      <c r="G33" s="1" t="s">
        <v>19</v>
      </c>
      <c r="H33" s="2">
        <v>46022</v>
      </c>
      <c r="I33" s="2">
        <v>46066</v>
      </c>
      <c r="J33" s="1" t="s">
        <v>28</v>
      </c>
      <c r="K33">
        <v>2025</v>
      </c>
    </row>
    <row r="34" spans="1:11" x14ac:dyDescent="0.25">
      <c r="A34" s="1" t="s">
        <v>30</v>
      </c>
      <c r="B34">
        <v>1281761</v>
      </c>
      <c r="C34" s="1" t="s">
        <v>31</v>
      </c>
      <c r="D34">
        <v>2024</v>
      </c>
      <c r="E34" s="1" t="s">
        <v>13</v>
      </c>
      <c r="F34" s="4">
        <v>157302000000</v>
      </c>
      <c r="G34" s="1" t="s">
        <v>13</v>
      </c>
      <c r="H34" s="2">
        <v>45657</v>
      </c>
      <c r="I34" s="2">
        <v>46077</v>
      </c>
      <c r="J34" s="1" t="s">
        <v>32</v>
      </c>
      <c r="K34">
        <v>2025</v>
      </c>
    </row>
    <row r="35" spans="1:11" x14ac:dyDescent="0.25">
      <c r="A35" s="1" t="s">
        <v>30</v>
      </c>
      <c r="B35">
        <v>1281761</v>
      </c>
      <c r="C35" s="1" t="s">
        <v>31</v>
      </c>
      <c r="D35">
        <v>2025</v>
      </c>
      <c r="E35" s="1" t="s">
        <v>13</v>
      </c>
      <c r="F35" s="4">
        <v>158814000000</v>
      </c>
      <c r="G35" s="1" t="s">
        <v>13</v>
      </c>
      <c r="H35" s="2">
        <v>46022</v>
      </c>
      <c r="I35" s="2">
        <v>46077</v>
      </c>
      <c r="J35" s="1" t="s">
        <v>32</v>
      </c>
      <c r="K35">
        <v>2025</v>
      </c>
    </row>
    <row r="36" spans="1:11" x14ac:dyDescent="0.25">
      <c r="A36" s="1" t="s">
        <v>30</v>
      </c>
      <c r="B36">
        <v>1281761</v>
      </c>
      <c r="C36" s="1" t="s">
        <v>31</v>
      </c>
      <c r="D36">
        <v>2024</v>
      </c>
      <c r="E36" s="1" t="s">
        <v>15</v>
      </c>
      <c r="F36" s="4">
        <v>139392000000</v>
      </c>
      <c r="G36" s="1" t="s">
        <v>15</v>
      </c>
      <c r="H36" s="2">
        <v>45657</v>
      </c>
      <c r="I36" s="2">
        <v>46077</v>
      </c>
      <c r="J36" s="1" t="s">
        <v>32</v>
      </c>
      <c r="K36">
        <v>2025</v>
      </c>
    </row>
    <row r="37" spans="1:11" x14ac:dyDescent="0.25">
      <c r="A37" s="1" t="s">
        <v>30</v>
      </c>
      <c r="B37">
        <v>1281761</v>
      </c>
      <c r="C37" s="1" t="s">
        <v>31</v>
      </c>
      <c r="D37">
        <v>2025</v>
      </c>
      <c r="E37" s="1" t="s">
        <v>15</v>
      </c>
      <c r="F37" s="4">
        <v>139711000000</v>
      </c>
      <c r="G37" s="1" t="s">
        <v>15</v>
      </c>
      <c r="H37" s="2">
        <v>46022</v>
      </c>
      <c r="I37" s="2">
        <v>46077</v>
      </c>
      <c r="J37" s="1" t="s">
        <v>32</v>
      </c>
      <c r="K37">
        <v>2025</v>
      </c>
    </row>
    <row r="38" spans="1:11" x14ac:dyDescent="0.25">
      <c r="A38" s="1" t="s">
        <v>30</v>
      </c>
      <c r="B38">
        <v>1281761</v>
      </c>
      <c r="C38" s="1" t="s">
        <v>31</v>
      </c>
      <c r="D38">
        <v>2024</v>
      </c>
      <c r="E38" s="1" t="s">
        <v>16</v>
      </c>
      <c r="F38" s="4">
        <v>17910000000</v>
      </c>
      <c r="G38" s="1" t="s">
        <v>29</v>
      </c>
      <c r="H38" s="2">
        <v>45657</v>
      </c>
      <c r="I38" s="2">
        <v>46077</v>
      </c>
      <c r="J38" s="1" t="s">
        <v>32</v>
      </c>
      <c r="K38">
        <v>2025</v>
      </c>
    </row>
    <row r="39" spans="1:11" x14ac:dyDescent="0.25">
      <c r="A39" s="1" t="s">
        <v>30</v>
      </c>
      <c r="B39">
        <v>1281761</v>
      </c>
      <c r="C39" s="1" t="s">
        <v>31</v>
      </c>
      <c r="D39">
        <v>2025</v>
      </c>
      <c r="E39" s="1" t="s">
        <v>16</v>
      </c>
      <c r="F39" s="4">
        <v>19103000000</v>
      </c>
      <c r="G39" s="1" t="s">
        <v>29</v>
      </c>
      <c r="H39" s="2">
        <v>46022</v>
      </c>
      <c r="I39" s="2">
        <v>46077</v>
      </c>
      <c r="J39" s="1" t="s">
        <v>32</v>
      </c>
      <c r="K39">
        <v>2025</v>
      </c>
    </row>
    <row r="40" spans="1:11" x14ac:dyDescent="0.25">
      <c r="A40" s="1" t="s">
        <v>30</v>
      </c>
      <c r="B40">
        <v>1281761</v>
      </c>
      <c r="C40" s="1" t="s">
        <v>31</v>
      </c>
      <c r="D40">
        <v>2024</v>
      </c>
      <c r="E40" s="1" t="s">
        <v>18</v>
      </c>
      <c r="F40" s="4">
        <v>1893000000</v>
      </c>
      <c r="G40" s="1" t="s">
        <v>19</v>
      </c>
      <c r="H40" s="2">
        <v>45657</v>
      </c>
      <c r="I40" s="2">
        <v>46077</v>
      </c>
      <c r="J40" s="1" t="s">
        <v>32</v>
      </c>
      <c r="K40">
        <v>2025</v>
      </c>
    </row>
    <row r="41" spans="1:11" x14ac:dyDescent="0.25">
      <c r="A41" s="1" t="s">
        <v>30</v>
      </c>
      <c r="B41">
        <v>1281761</v>
      </c>
      <c r="C41" s="1" t="s">
        <v>31</v>
      </c>
      <c r="D41">
        <v>2025</v>
      </c>
      <c r="E41" s="1" t="s">
        <v>18</v>
      </c>
      <c r="F41" s="4">
        <v>2156000000</v>
      </c>
      <c r="G41" s="1" t="s">
        <v>19</v>
      </c>
      <c r="H41" s="2">
        <v>46022</v>
      </c>
      <c r="I41" s="2">
        <v>46077</v>
      </c>
      <c r="J41" s="1" t="s">
        <v>32</v>
      </c>
      <c r="K41">
        <v>2025</v>
      </c>
    </row>
    <row r="42" spans="1:11" x14ac:dyDescent="0.25">
      <c r="A42" s="1" t="s">
        <v>33</v>
      </c>
      <c r="B42">
        <v>91576</v>
      </c>
      <c r="C42" s="1" t="s">
        <v>34</v>
      </c>
      <c r="D42">
        <v>2024</v>
      </c>
      <c r="E42" s="1" t="s">
        <v>13</v>
      </c>
      <c r="F42" s="4">
        <v>187168000000</v>
      </c>
      <c r="G42" s="1" t="s">
        <v>13</v>
      </c>
      <c r="H42" s="2">
        <v>45657</v>
      </c>
      <c r="I42" s="2">
        <v>46076</v>
      </c>
      <c r="J42" s="1" t="s">
        <v>35</v>
      </c>
      <c r="K42">
        <v>2025</v>
      </c>
    </row>
    <row r="43" spans="1:11" x14ac:dyDescent="0.25">
      <c r="A43" s="1" t="s">
        <v>33</v>
      </c>
      <c r="B43">
        <v>91576</v>
      </c>
      <c r="C43" s="1" t="s">
        <v>34</v>
      </c>
      <c r="D43">
        <v>2025</v>
      </c>
      <c r="E43" s="1" t="s">
        <v>13</v>
      </c>
      <c r="F43" s="4">
        <v>184381000000</v>
      </c>
      <c r="G43" s="1" t="s">
        <v>13</v>
      </c>
      <c r="H43" s="2">
        <v>46022</v>
      </c>
      <c r="I43" s="2">
        <v>46076</v>
      </c>
      <c r="J43" s="1" t="s">
        <v>35</v>
      </c>
      <c r="K43">
        <v>2025</v>
      </c>
    </row>
    <row r="44" spans="1:11" x14ac:dyDescent="0.25">
      <c r="A44" s="1" t="s">
        <v>33</v>
      </c>
      <c r="B44">
        <v>91576</v>
      </c>
      <c r="C44" s="1" t="s">
        <v>34</v>
      </c>
      <c r="D44">
        <v>2024</v>
      </c>
      <c r="E44" s="1" t="s">
        <v>15</v>
      </c>
      <c r="F44" s="4">
        <v>168992000000</v>
      </c>
      <c r="G44" s="1" t="s">
        <v>15</v>
      </c>
      <c r="H44" s="2">
        <v>45657</v>
      </c>
      <c r="I44" s="2">
        <v>46076</v>
      </c>
      <c r="J44" s="1" t="s">
        <v>35</v>
      </c>
      <c r="K44">
        <v>2025</v>
      </c>
    </row>
    <row r="45" spans="1:11" x14ac:dyDescent="0.25">
      <c r="A45" s="1" t="s">
        <v>33</v>
      </c>
      <c r="B45">
        <v>91576</v>
      </c>
      <c r="C45" s="1" t="s">
        <v>34</v>
      </c>
      <c r="D45">
        <v>2025</v>
      </c>
      <c r="E45" s="1" t="s">
        <v>15</v>
      </c>
      <c r="F45" s="4">
        <v>164000000000</v>
      </c>
      <c r="G45" s="1" t="s">
        <v>15</v>
      </c>
      <c r="H45" s="2">
        <v>46022</v>
      </c>
      <c r="I45" s="2">
        <v>46076</v>
      </c>
      <c r="J45" s="1" t="s">
        <v>35</v>
      </c>
      <c r="K45">
        <v>2025</v>
      </c>
    </row>
    <row r="46" spans="1:11" x14ac:dyDescent="0.25">
      <c r="A46" s="1" t="s">
        <v>33</v>
      </c>
      <c r="B46">
        <v>91576</v>
      </c>
      <c r="C46" s="1" t="s">
        <v>34</v>
      </c>
      <c r="D46">
        <v>2024</v>
      </c>
      <c r="E46" s="1" t="s">
        <v>16</v>
      </c>
      <c r="F46" s="4">
        <v>18176000000</v>
      </c>
      <c r="G46" s="1" t="s">
        <v>17</v>
      </c>
      <c r="H46" s="2">
        <v>45657</v>
      </c>
      <c r="I46" s="2">
        <v>46076</v>
      </c>
      <c r="J46" s="1" t="s">
        <v>35</v>
      </c>
      <c r="K46">
        <v>2025</v>
      </c>
    </row>
    <row r="47" spans="1:11" x14ac:dyDescent="0.25">
      <c r="A47" s="1" t="s">
        <v>33</v>
      </c>
      <c r="B47">
        <v>91576</v>
      </c>
      <c r="C47" s="1" t="s">
        <v>34</v>
      </c>
      <c r="D47">
        <v>2025</v>
      </c>
      <c r="E47" s="1" t="s">
        <v>16</v>
      </c>
      <c r="F47" s="4">
        <v>20381000000</v>
      </c>
      <c r="G47" s="1" t="s">
        <v>17</v>
      </c>
      <c r="H47" s="2">
        <v>46022</v>
      </c>
      <c r="I47" s="2">
        <v>46076</v>
      </c>
      <c r="J47" s="1" t="s">
        <v>35</v>
      </c>
      <c r="K47">
        <v>2025</v>
      </c>
    </row>
    <row r="48" spans="1:11" x14ac:dyDescent="0.25">
      <c r="A48" s="1" t="s">
        <v>33</v>
      </c>
      <c r="B48">
        <v>91576</v>
      </c>
      <c r="C48" s="1" t="s">
        <v>34</v>
      </c>
      <c r="D48">
        <v>2024</v>
      </c>
      <c r="E48" s="1" t="s">
        <v>18</v>
      </c>
      <c r="F48" s="4">
        <v>-161000000</v>
      </c>
      <c r="G48" s="1" t="s">
        <v>19</v>
      </c>
      <c r="H48" s="2">
        <v>45657</v>
      </c>
      <c r="I48" s="2">
        <v>46076</v>
      </c>
      <c r="J48" s="1" t="s">
        <v>35</v>
      </c>
      <c r="K48">
        <v>2025</v>
      </c>
    </row>
    <row r="49" spans="1:11" x14ac:dyDescent="0.25">
      <c r="A49" s="1" t="s">
        <v>33</v>
      </c>
      <c r="B49">
        <v>91576</v>
      </c>
      <c r="C49" s="1" t="s">
        <v>34</v>
      </c>
      <c r="D49">
        <v>2025</v>
      </c>
      <c r="E49" s="1" t="s">
        <v>18</v>
      </c>
      <c r="F49" s="4">
        <v>1829000000</v>
      </c>
      <c r="G49" s="1" t="s">
        <v>19</v>
      </c>
      <c r="H49" s="2">
        <v>46022</v>
      </c>
      <c r="I49" s="2">
        <v>46076</v>
      </c>
      <c r="J49" s="1" t="s">
        <v>35</v>
      </c>
      <c r="K49">
        <v>2025</v>
      </c>
    </row>
    <row r="50" spans="1:11" x14ac:dyDescent="0.25">
      <c r="A50" s="1" t="s">
        <v>36</v>
      </c>
      <c r="B50">
        <v>759944</v>
      </c>
      <c r="C50" s="1" t="s">
        <v>37</v>
      </c>
      <c r="D50">
        <v>2024</v>
      </c>
      <c r="E50" s="1" t="s">
        <v>13</v>
      </c>
      <c r="F50" s="4">
        <v>217521000000</v>
      </c>
      <c r="G50" s="1" t="s">
        <v>13</v>
      </c>
      <c r="H50" s="2">
        <v>45657</v>
      </c>
      <c r="I50" s="2">
        <v>46065</v>
      </c>
      <c r="J50" s="1" t="s">
        <v>38</v>
      </c>
      <c r="K50">
        <v>2025</v>
      </c>
    </row>
    <row r="51" spans="1:11" x14ac:dyDescent="0.25">
      <c r="A51" s="1" t="s">
        <v>36</v>
      </c>
      <c r="B51">
        <v>759944</v>
      </c>
      <c r="C51" s="1" t="s">
        <v>37</v>
      </c>
      <c r="D51">
        <v>2025</v>
      </c>
      <c r="E51" s="1" t="s">
        <v>13</v>
      </c>
      <c r="F51" s="4">
        <v>226351000000</v>
      </c>
      <c r="G51" s="1" t="s">
        <v>13</v>
      </c>
      <c r="H51" s="2">
        <v>46022</v>
      </c>
      <c r="I51" s="2">
        <v>46065</v>
      </c>
      <c r="J51" s="1" t="s">
        <v>38</v>
      </c>
      <c r="K51">
        <v>2025</v>
      </c>
    </row>
    <row r="52" spans="1:11" x14ac:dyDescent="0.25">
      <c r="A52" s="1" t="s">
        <v>36</v>
      </c>
      <c r="B52">
        <v>759944</v>
      </c>
      <c r="C52" s="1" t="s">
        <v>37</v>
      </c>
      <c r="D52">
        <v>2024</v>
      </c>
      <c r="E52" s="1" t="s">
        <v>15</v>
      </c>
      <c r="F52" s="4">
        <v>193267000000</v>
      </c>
      <c r="G52" s="1" t="s">
        <v>15</v>
      </c>
      <c r="H52" s="2">
        <v>45657</v>
      </c>
      <c r="I52" s="2">
        <v>46065</v>
      </c>
      <c r="J52" s="1" t="s">
        <v>38</v>
      </c>
      <c r="K52">
        <v>2025</v>
      </c>
    </row>
    <row r="53" spans="1:11" x14ac:dyDescent="0.25">
      <c r="A53" s="1" t="s">
        <v>36</v>
      </c>
      <c r="B53">
        <v>759944</v>
      </c>
      <c r="C53" s="1" t="s">
        <v>37</v>
      </c>
      <c r="D53">
        <v>2025</v>
      </c>
      <c r="E53" s="1" t="s">
        <v>15</v>
      </c>
      <c r="F53" s="4">
        <v>200034000000</v>
      </c>
      <c r="G53" s="1" t="s">
        <v>15</v>
      </c>
      <c r="H53" s="2">
        <v>46022</v>
      </c>
      <c r="I53" s="2">
        <v>46065</v>
      </c>
      <c r="J53" s="1" t="s">
        <v>38</v>
      </c>
      <c r="K53">
        <v>2025</v>
      </c>
    </row>
    <row r="54" spans="1:11" x14ac:dyDescent="0.25">
      <c r="A54" s="1" t="s">
        <v>36</v>
      </c>
      <c r="B54">
        <v>759944</v>
      </c>
      <c r="C54" s="1" t="s">
        <v>37</v>
      </c>
      <c r="D54">
        <v>2024</v>
      </c>
      <c r="E54" s="1" t="s">
        <v>16</v>
      </c>
      <c r="F54" s="4">
        <v>24254000000</v>
      </c>
      <c r="G54" s="1" t="s">
        <v>17</v>
      </c>
      <c r="H54" s="2">
        <v>45657</v>
      </c>
      <c r="I54" s="2">
        <v>46065</v>
      </c>
      <c r="J54" s="1" t="s">
        <v>38</v>
      </c>
      <c r="K54">
        <v>2025</v>
      </c>
    </row>
    <row r="55" spans="1:11" x14ac:dyDescent="0.25">
      <c r="A55" s="1" t="s">
        <v>36</v>
      </c>
      <c r="B55">
        <v>759944</v>
      </c>
      <c r="C55" s="1" t="s">
        <v>37</v>
      </c>
      <c r="D55">
        <v>2025</v>
      </c>
      <c r="E55" s="1" t="s">
        <v>16</v>
      </c>
      <c r="F55" s="4">
        <v>26317000000</v>
      </c>
      <c r="G55" s="1" t="s">
        <v>17</v>
      </c>
      <c r="H55" s="2">
        <v>46022</v>
      </c>
      <c r="I55" s="2">
        <v>46065</v>
      </c>
      <c r="J55" s="1" t="s">
        <v>38</v>
      </c>
      <c r="K55">
        <v>2025</v>
      </c>
    </row>
    <row r="56" spans="1:11" x14ac:dyDescent="0.25">
      <c r="A56" s="1" t="s">
        <v>36</v>
      </c>
      <c r="B56">
        <v>759944</v>
      </c>
      <c r="C56" s="1" t="s">
        <v>37</v>
      </c>
      <c r="D56">
        <v>2024</v>
      </c>
      <c r="E56" s="1" t="s">
        <v>18</v>
      </c>
      <c r="F56" s="4">
        <v>1509000000</v>
      </c>
      <c r="G56" s="1" t="s">
        <v>19</v>
      </c>
      <c r="H56" s="2">
        <v>45657</v>
      </c>
      <c r="I56" s="2">
        <v>46065</v>
      </c>
      <c r="J56" s="1" t="s">
        <v>38</v>
      </c>
      <c r="K56">
        <v>2025</v>
      </c>
    </row>
    <row r="57" spans="1:11" x14ac:dyDescent="0.25">
      <c r="A57" s="1" t="s">
        <v>36</v>
      </c>
      <c r="B57">
        <v>759944</v>
      </c>
      <c r="C57" s="1" t="s">
        <v>37</v>
      </c>
      <c r="D57">
        <v>2025</v>
      </c>
      <c r="E57" s="1" t="s">
        <v>18</v>
      </c>
      <c r="F57" s="4">
        <v>1831000000</v>
      </c>
      <c r="G57" s="1" t="s">
        <v>19</v>
      </c>
      <c r="H57" s="2">
        <v>46022</v>
      </c>
      <c r="I57" s="2">
        <v>46065</v>
      </c>
      <c r="J57" s="1" t="s">
        <v>38</v>
      </c>
      <c r="K57">
        <v>2025</v>
      </c>
    </row>
    <row r="58" spans="1:11" x14ac:dyDescent="0.25">
      <c r="A58" s="1" t="s">
        <v>39</v>
      </c>
      <c r="B58">
        <v>109380</v>
      </c>
      <c r="C58" s="1" t="s">
        <v>40</v>
      </c>
      <c r="D58">
        <v>2024</v>
      </c>
      <c r="E58" s="1" t="s">
        <v>13</v>
      </c>
      <c r="F58" s="4">
        <v>88775000000</v>
      </c>
      <c r="G58" s="1" t="s">
        <v>13</v>
      </c>
      <c r="H58" s="2">
        <v>45657</v>
      </c>
      <c r="I58" s="2">
        <v>46077</v>
      </c>
      <c r="J58" s="1" t="s">
        <v>41</v>
      </c>
      <c r="K58">
        <v>2025</v>
      </c>
    </row>
    <row r="59" spans="1:11" x14ac:dyDescent="0.25">
      <c r="A59" s="1" t="s">
        <v>39</v>
      </c>
      <c r="B59">
        <v>109380</v>
      </c>
      <c r="C59" s="1" t="s">
        <v>40</v>
      </c>
      <c r="D59">
        <v>2025</v>
      </c>
      <c r="E59" s="1" t="s">
        <v>13</v>
      </c>
      <c r="F59" s="4">
        <v>88990000000</v>
      </c>
      <c r="G59" s="1" t="s">
        <v>13</v>
      </c>
      <c r="H59" s="2">
        <v>46022</v>
      </c>
      <c r="I59" s="2">
        <v>46077</v>
      </c>
      <c r="J59" s="1" t="s">
        <v>41</v>
      </c>
      <c r="K59">
        <v>2025</v>
      </c>
    </row>
    <row r="60" spans="1:11" x14ac:dyDescent="0.25">
      <c r="A60" s="1" t="s">
        <v>39</v>
      </c>
      <c r="B60">
        <v>109380</v>
      </c>
      <c r="C60" s="1" t="s">
        <v>40</v>
      </c>
      <c r="D60">
        <v>2024</v>
      </c>
      <c r="E60" s="1" t="s">
        <v>15</v>
      </c>
      <c r="F60" s="4">
        <v>82651000000</v>
      </c>
      <c r="G60" s="1" t="s">
        <v>15</v>
      </c>
      <c r="H60" s="2">
        <v>45657</v>
      </c>
      <c r="I60" s="2">
        <v>46077</v>
      </c>
      <c r="J60" s="1" t="s">
        <v>41</v>
      </c>
      <c r="K60">
        <v>2025</v>
      </c>
    </row>
    <row r="61" spans="1:11" x14ac:dyDescent="0.25">
      <c r="A61" s="1" t="s">
        <v>39</v>
      </c>
      <c r="B61">
        <v>109380</v>
      </c>
      <c r="C61" s="1" t="s">
        <v>40</v>
      </c>
      <c r="D61">
        <v>2025</v>
      </c>
      <c r="E61" s="1" t="s">
        <v>15</v>
      </c>
      <c r="F61" s="4">
        <v>81810000000</v>
      </c>
      <c r="G61" s="1" t="s">
        <v>15</v>
      </c>
      <c r="H61" s="2">
        <v>46022</v>
      </c>
      <c r="I61" s="2">
        <v>46077</v>
      </c>
      <c r="J61" s="1" t="s">
        <v>41</v>
      </c>
      <c r="K61">
        <v>2025</v>
      </c>
    </row>
    <row r="62" spans="1:11" x14ac:dyDescent="0.25">
      <c r="A62" s="1" t="s">
        <v>39</v>
      </c>
      <c r="B62">
        <v>109380</v>
      </c>
      <c r="C62" s="1" t="s">
        <v>40</v>
      </c>
      <c r="D62">
        <v>2024</v>
      </c>
      <c r="E62" s="1" t="s">
        <v>16</v>
      </c>
      <c r="F62" s="4">
        <v>6124000000</v>
      </c>
      <c r="G62" s="1" t="s">
        <v>17</v>
      </c>
      <c r="H62" s="2">
        <v>45657</v>
      </c>
      <c r="I62" s="2">
        <v>46077</v>
      </c>
      <c r="J62" s="1" t="s">
        <v>41</v>
      </c>
      <c r="K62">
        <v>2025</v>
      </c>
    </row>
    <row r="63" spans="1:11" x14ac:dyDescent="0.25">
      <c r="A63" s="1" t="s">
        <v>39</v>
      </c>
      <c r="B63">
        <v>109380</v>
      </c>
      <c r="C63" s="1" t="s">
        <v>40</v>
      </c>
      <c r="D63">
        <v>2025</v>
      </c>
      <c r="E63" s="1" t="s">
        <v>16</v>
      </c>
      <c r="F63" s="4">
        <v>7180000000</v>
      </c>
      <c r="G63" s="1" t="s">
        <v>17</v>
      </c>
      <c r="H63" s="2">
        <v>46022</v>
      </c>
      <c r="I63" s="2">
        <v>46077</v>
      </c>
      <c r="J63" s="1" t="s">
        <v>41</v>
      </c>
      <c r="K63">
        <v>2025</v>
      </c>
    </row>
    <row r="64" spans="1:11" x14ac:dyDescent="0.25">
      <c r="A64" s="1" t="s">
        <v>39</v>
      </c>
      <c r="B64">
        <v>109380</v>
      </c>
      <c r="C64" s="1" t="s">
        <v>40</v>
      </c>
      <c r="D64">
        <v>2024</v>
      </c>
      <c r="E64" s="1" t="s">
        <v>18</v>
      </c>
      <c r="F64" s="4">
        <v>784000000</v>
      </c>
      <c r="G64" s="1" t="s">
        <v>19</v>
      </c>
      <c r="H64" s="2">
        <v>45657</v>
      </c>
      <c r="I64" s="2">
        <v>46077</v>
      </c>
      <c r="J64" s="1" t="s">
        <v>41</v>
      </c>
      <c r="K64">
        <v>2025</v>
      </c>
    </row>
    <row r="65" spans="1:11" x14ac:dyDescent="0.25">
      <c r="A65" s="1" t="s">
        <v>39</v>
      </c>
      <c r="B65">
        <v>109380</v>
      </c>
      <c r="C65" s="1" t="s">
        <v>40</v>
      </c>
      <c r="D65">
        <v>2025</v>
      </c>
      <c r="E65" s="1" t="s">
        <v>18</v>
      </c>
      <c r="F65" s="4">
        <v>899000000</v>
      </c>
      <c r="G65" s="1" t="s">
        <v>19</v>
      </c>
      <c r="H65" s="2">
        <v>46022</v>
      </c>
      <c r="I65" s="2">
        <v>46077</v>
      </c>
      <c r="J65" s="1" t="s">
        <v>41</v>
      </c>
      <c r="K65">
        <v>2025</v>
      </c>
    </row>
    <row r="66" spans="1:11" x14ac:dyDescent="0.25">
      <c r="A66" s="1" t="s">
        <v>42</v>
      </c>
      <c r="B66">
        <v>1212545</v>
      </c>
      <c r="C66" s="1" t="s">
        <v>43</v>
      </c>
      <c r="D66">
        <v>2024</v>
      </c>
      <c r="E66" s="1" t="s">
        <v>13</v>
      </c>
      <c r="F66" s="4">
        <v>80934000000</v>
      </c>
      <c r="G66" s="1" t="s">
        <v>13</v>
      </c>
      <c r="H66" s="2">
        <v>45657</v>
      </c>
      <c r="I66" s="2">
        <v>46076</v>
      </c>
      <c r="J66" s="1" t="s">
        <v>44</v>
      </c>
      <c r="K66">
        <v>2025</v>
      </c>
    </row>
    <row r="67" spans="1:11" x14ac:dyDescent="0.25">
      <c r="A67" s="1" t="s">
        <v>42</v>
      </c>
      <c r="B67">
        <v>1212545</v>
      </c>
      <c r="C67" s="1" t="s">
        <v>43</v>
      </c>
      <c r="D67">
        <v>2025</v>
      </c>
      <c r="E67" s="1" t="s">
        <v>13</v>
      </c>
      <c r="F67" s="4">
        <v>92774000000</v>
      </c>
      <c r="G67" s="1" t="s">
        <v>13</v>
      </c>
      <c r="H67" s="2">
        <v>46022</v>
      </c>
      <c r="I67" s="2">
        <v>46076</v>
      </c>
      <c r="J67" s="1" t="s">
        <v>44</v>
      </c>
      <c r="K67">
        <v>2025</v>
      </c>
    </row>
    <row r="68" spans="1:11" x14ac:dyDescent="0.25">
      <c r="A68" s="1" t="s">
        <v>42</v>
      </c>
      <c r="B68">
        <v>1212545</v>
      </c>
      <c r="C68" s="1" t="s">
        <v>43</v>
      </c>
      <c r="D68">
        <v>2024</v>
      </c>
      <c r="E68" s="1" t="s">
        <v>15</v>
      </c>
      <c r="F68" s="4">
        <v>74227000000</v>
      </c>
      <c r="G68" s="1" t="s">
        <v>15</v>
      </c>
      <c r="H68" s="2">
        <v>45657</v>
      </c>
      <c r="I68" s="2">
        <v>46076</v>
      </c>
      <c r="J68" s="1" t="s">
        <v>44</v>
      </c>
      <c r="K68">
        <v>2025</v>
      </c>
    </row>
    <row r="69" spans="1:11" x14ac:dyDescent="0.25">
      <c r="A69" s="1" t="s">
        <v>42</v>
      </c>
      <c r="B69">
        <v>1212545</v>
      </c>
      <c r="C69" s="1" t="s">
        <v>43</v>
      </c>
      <c r="D69">
        <v>2025</v>
      </c>
      <c r="E69" s="1" t="s">
        <v>15</v>
      </c>
      <c r="F69" s="4">
        <v>84828000000</v>
      </c>
      <c r="G69" s="1" t="s">
        <v>15</v>
      </c>
      <c r="H69" s="2">
        <v>46022</v>
      </c>
      <c r="I69" s="2">
        <v>46076</v>
      </c>
      <c r="J69" s="1" t="s">
        <v>44</v>
      </c>
      <c r="K69">
        <v>2025</v>
      </c>
    </row>
    <row r="70" spans="1:11" x14ac:dyDescent="0.25">
      <c r="A70" s="1" t="s">
        <v>42</v>
      </c>
      <c r="B70">
        <v>1212545</v>
      </c>
      <c r="C70" s="1" t="s">
        <v>43</v>
      </c>
      <c r="D70">
        <v>2024</v>
      </c>
      <c r="E70" s="1" t="s">
        <v>16</v>
      </c>
      <c r="F70" s="4">
        <v>6707500000</v>
      </c>
      <c r="G70" s="1" t="s">
        <v>29</v>
      </c>
      <c r="H70" s="2">
        <v>45657</v>
      </c>
      <c r="I70" s="2">
        <v>46076</v>
      </c>
      <c r="J70" s="1" t="s">
        <v>44</v>
      </c>
      <c r="K70">
        <v>2025</v>
      </c>
    </row>
    <row r="71" spans="1:11" x14ac:dyDescent="0.25">
      <c r="A71" s="1" t="s">
        <v>42</v>
      </c>
      <c r="B71">
        <v>1212545</v>
      </c>
      <c r="C71" s="1" t="s">
        <v>43</v>
      </c>
      <c r="D71">
        <v>2025</v>
      </c>
      <c r="E71" s="1" t="s">
        <v>16</v>
      </c>
      <c r="F71" s="4">
        <v>7945900000</v>
      </c>
      <c r="G71" s="1" t="s">
        <v>29</v>
      </c>
      <c r="H71" s="2">
        <v>46022</v>
      </c>
      <c r="I71" s="2">
        <v>46076</v>
      </c>
      <c r="J71" s="1" t="s">
        <v>44</v>
      </c>
      <c r="K71">
        <v>2025</v>
      </c>
    </row>
    <row r="72" spans="1:11" x14ac:dyDescent="0.25">
      <c r="A72" s="1" t="s">
        <v>42</v>
      </c>
      <c r="B72">
        <v>1212545</v>
      </c>
      <c r="C72" s="1" t="s">
        <v>43</v>
      </c>
      <c r="D72">
        <v>2024</v>
      </c>
      <c r="E72" s="1" t="s">
        <v>18</v>
      </c>
      <c r="F72" s="4">
        <v>787700000</v>
      </c>
      <c r="G72" s="1" t="s">
        <v>19</v>
      </c>
      <c r="H72" s="2">
        <v>45657</v>
      </c>
      <c r="I72" s="2">
        <v>46076</v>
      </c>
      <c r="J72" s="1" t="s">
        <v>44</v>
      </c>
      <c r="K72">
        <v>2025</v>
      </c>
    </row>
    <row r="73" spans="1:11" x14ac:dyDescent="0.25">
      <c r="A73" s="1" t="s">
        <v>42</v>
      </c>
      <c r="B73">
        <v>1212545</v>
      </c>
      <c r="C73" s="1" t="s">
        <v>43</v>
      </c>
      <c r="D73">
        <v>2025</v>
      </c>
      <c r="E73" s="1" t="s">
        <v>18</v>
      </c>
      <c r="F73" s="4">
        <v>969000000</v>
      </c>
      <c r="G73" s="1" t="s">
        <v>19</v>
      </c>
      <c r="H73" s="2">
        <v>46022</v>
      </c>
      <c r="I73" s="2">
        <v>46076</v>
      </c>
      <c r="J73" s="1" t="s">
        <v>44</v>
      </c>
      <c r="K73">
        <v>2025</v>
      </c>
    </row>
    <row r="74" spans="1:11" x14ac:dyDescent="0.25">
      <c r="A74" s="1" t="s">
        <v>45</v>
      </c>
      <c r="B74">
        <v>1069157</v>
      </c>
      <c r="C74" s="1" t="s">
        <v>46</v>
      </c>
      <c r="D74">
        <v>2024</v>
      </c>
      <c r="E74" s="1" t="s">
        <v>13</v>
      </c>
      <c r="F74" s="4">
        <v>75976475000</v>
      </c>
      <c r="G74" s="1" t="s">
        <v>13</v>
      </c>
      <c r="H74" s="2">
        <v>45657</v>
      </c>
      <c r="I74" s="2">
        <v>46080</v>
      </c>
      <c r="J74" s="1" t="s">
        <v>47</v>
      </c>
      <c r="K74">
        <v>2025</v>
      </c>
    </row>
    <row r="75" spans="1:11" x14ac:dyDescent="0.25">
      <c r="A75" s="1" t="s">
        <v>45</v>
      </c>
      <c r="B75">
        <v>1069157</v>
      </c>
      <c r="C75" s="1" t="s">
        <v>46</v>
      </c>
      <c r="D75">
        <v>2025</v>
      </c>
      <c r="E75" s="1" t="s">
        <v>13</v>
      </c>
      <c r="F75" s="4">
        <v>80434997000</v>
      </c>
      <c r="G75" s="1" t="s">
        <v>13</v>
      </c>
      <c r="H75" s="2">
        <v>46022</v>
      </c>
      <c r="I75" s="2">
        <v>46080</v>
      </c>
      <c r="J75" s="1" t="s">
        <v>47</v>
      </c>
      <c r="K75">
        <v>2025</v>
      </c>
    </row>
    <row r="76" spans="1:11" x14ac:dyDescent="0.25">
      <c r="A76" s="1" t="s">
        <v>45</v>
      </c>
      <c r="B76">
        <v>1069157</v>
      </c>
      <c r="C76" s="1" t="s">
        <v>46</v>
      </c>
      <c r="D76">
        <v>2024</v>
      </c>
      <c r="E76" s="1" t="s">
        <v>15</v>
      </c>
      <c r="F76" s="4">
        <v>68253421000</v>
      </c>
      <c r="G76" s="1" t="s">
        <v>15</v>
      </c>
      <c r="H76" s="2">
        <v>45657</v>
      </c>
      <c r="I76" s="2">
        <v>46080</v>
      </c>
      <c r="J76" s="1" t="s">
        <v>47</v>
      </c>
      <c r="K76">
        <v>2025</v>
      </c>
    </row>
    <row r="77" spans="1:11" x14ac:dyDescent="0.25">
      <c r="A77" s="1" t="s">
        <v>45</v>
      </c>
      <c r="B77">
        <v>1069157</v>
      </c>
      <c r="C77" s="1" t="s">
        <v>46</v>
      </c>
      <c r="D77">
        <v>2025</v>
      </c>
      <c r="E77" s="1" t="s">
        <v>15</v>
      </c>
      <c r="F77" s="4">
        <v>71535795000</v>
      </c>
      <c r="G77" s="1" t="s">
        <v>15</v>
      </c>
      <c r="H77" s="2">
        <v>46022</v>
      </c>
      <c r="I77" s="2">
        <v>46080</v>
      </c>
      <c r="J77" s="1" t="s">
        <v>47</v>
      </c>
      <c r="K77">
        <v>2025</v>
      </c>
    </row>
    <row r="78" spans="1:11" x14ac:dyDescent="0.25">
      <c r="A78" s="1" t="s">
        <v>45</v>
      </c>
      <c r="B78">
        <v>1069157</v>
      </c>
      <c r="C78" s="1" t="s">
        <v>46</v>
      </c>
      <c r="D78">
        <v>2024</v>
      </c>
      <c r="E78" s="1" t="s">
        <v>16</v>
      </c>
      <c r="F78" s="4">
        <v>7723054000</v>
      </c>
      <c r="G78" s="1" t="s">
        <v>17</v>
      </c>
      <c r="H78" s="2">
        <v>45657</v>
      </c>
      <c r="I78" s="2">
        <v>46080</v>
      </c>
      <c r="J78" s="1" t="s">
        <v>47</v>
      </c>
      <c r="K78">
        <v>2025</v>
      </c>
    </row>
    <row r="79" spans="1:11" x14ac:dyDescent="0.25">
      <c r="A79" s="1" t="s">
        <v>45</v>
      </c>
      <c r="B79">
        <v>1069157</v>
      </c>
      <c r="C79" s="1" t="s">
        <v>46</v>
      </c>
      <c r="D79">
        <v>2025</v>
      </c>
      <c r="E79" s="1" t="s">
        <v>16</v>
      </c>
      <c r="F79" s="4">
        <v>8899202000</v>
      </c>
      <c r="G79" s="1" t="s">
        <v>17</v>
      </c>
      <c r="H79" s="2">
        <v>46022</v>
      </c>
      <c r="I79" s="2">
        <v>46080</v>
      </c>
      <c r="J79" s="1" t="s">
        <v>47</v>
      </c>
      <c r="K79">
        <v>2025</v>
      </c>
    </row>
    <row r="80" spans="1:11" x14ac:dyDescent="0.25">
      <c r="A80" s="1" t="s">
        <v>45</v>
      </c>
      <c r="B80">
        <v>1069157</v>
      </c>
      <c r="C80" s="1" t="s">
        <v>46</v>
      </c>
      <c r="D80">
        <v>2024</v>
      </c>
      <c r="E80" s="1" t="s">
        <v>18</v>
      </c>
      <c r="F80" s="4">
        <v>1165586000</v>
      </c>
      <c r="G80" s="1" t="s">
        <v>19</v>
      </c>
      <c r="H80" s="2">
        <v>45657</v>
      </c>
      <c r="I80" s="2">
        <v>46080</v>
      </c>
      <c r="J80" s="1" t="s">
        <v>47</v>
      </c>
      <c r="K80">
        <v>2025</v>
      </c>
    </row>
    <row r="81" spans="1:11" x14ac:dyDescent="0.25">
      <c r="A81" s="1" t="s">
        <v>45</v>
      </c>
      <c r="B81">
        <v>1069157</v>
      </c>
      <c r="C81" s="1" t="s">
        <v>46</v>
      </c>
      <c r="D81">
        <v>2025</v>
      </c>
      <c r="E81" s="1" t="s">
        <v>18</v>
      </c>
      <c r="F81" s="4">
        <v>1325188000</v>
      </c>
      <c r="G81" s="1" t="s">
        <v>19</v>
      </c>
      <c r="H81" s="2">
        <v>46022</v>
      </c>
      <c r="I81" s="2">
        <v>46080</v>
      </c>
      <c r="J81" s="1" t="s">
        <v>47</v>
      </c>
      <c r="K81">
        <v>2025</v>
      </c>
    </row>
    <row r="82" spans="1:11" x14ac:dyDescent="0.25">
      <c r="A82" s="1" t="s">
        <v>48</v>
      </c>
      <c r="B82">
        <v>801337</v>
      </c>
      <c r="C82" s="1" t="s">
        <v>49</v>
      </c>
      <c r="D82">
        <v>2024</v>
      </c>
      <c r="E82" s="1" t="s">
        <v>13</v>
      </c>
      <c r="F82" s="4">
        <v>79025073000</v>
      </c>
      <c r="G82" s="1" t="s">
        <v>13</v>
      </c>
      <c r="H82" s="2">
        <v>45657</v>
      </c>
      <c r="I82" s="2">
        <v>46080</v>
      </c>
      <c r="J82" s="1" t="s">
        <v>50</v>
      </c>
      <c r="K82">
        <v>2025</v>
      </c>
    </row>
    <row r="83" spans="1:11" x14ac:dyDescent="0.25">
      <c r="A83" s="1" t="s">
        <v>48</v>
      </c>
      <c r="B83">
        <v>801337</v>
      </c>
      <c r="C83" s="1" t="s">
        <v>49</v>
      </c>
      <c r="D83">
        <v>2025</v>
      </c>
      <c r="E83" s="1" t="s">
        <v>13</v>
      </c>
      <c r="F83" s="4">
        <v>84073663000</v>
      </c>
      <c r="G83" s="1" t="s">
        <v>13</v>
      </c>
      <c r="H83" s="2">
        <v>46022</v>
      </c>
      <c r="I83" s="2">
        <v>46080</v>
      </c>
      <c r="J83" s="1" t="s">
        <v>50</v>
      </c>
      <c r="K83">
        <v>2025</v>
      </c>
    </row>
    <row r="84" spans="1:11" x14ac:dyDescent="0.25">
      <c r="A84" s="1" t="s">
        <v>48</v>
      </c>
      <c r="B84">
        <v>801337</v>
      </c>
      <c r="C84" s="1" t="s">
        <v>49</v>
      </c>
      <c r="D84">
        <v>2024</v>
      </c>
      <c r="E84" s="1" t="s">
        <v>15</v>
      </c>
      <c r="F84" s="4">
        <v>69891859000</v>
      </c>
      <c r="G84" s="1" t="s">
        <v>15</v>
      </c>
      <c r="H84" s="2">
        <v>45657</v>
      </c>
      <c r="I84" s="2">
        <v>46080</v>
      </c>
      <c r="J84" s="1" t="s">
        <v>50</v>
      </c>
      <c r="K84">
        <v>2025</v>
      </c>
    </row>
    <row r="85" spans="1:11" x14ac:dyDescent="0.25">
      <c r="A85" s="1" t="s">
        <v>48</v>
      </c>
      <c r="B85">
        <v>801337</v>
      </c>
      <c r="C85" s="1" t="s">
        <v>49</v>
      </c>
      <c r="D85">
        <v>2025</v>
      </c>
      <c r="E85" s="1" t="s">
        <v>15</v>
      </c>
      <c r="F85" s="4">
        <v>74581427000</v>
      </c>
      <c r="G85" s="1" t="s">
        <v>15</v>
      </c>
      <c r="H85" s="2">
        <v>46022</v>
      </c>
      <c r="I85" s="2">
        <v>46080</v>
      </c>
      <c r="J85" s="1" t="s">
        <v>50</v>
      </c>
      <c r="K85">
        <v>2025</v>
      </c>
    </row>
    <row r="86" spans="1:11" x14ac:dyDescent="0.25">
      <c r="A86" s="1" t="s">
        <v>48</v>
      </c>
      <c r="B86">
        <v>801337</v>
      </c>
      <c r="C86" s="1" t="s">
        <v>49</v>
      </c>
      <c r="D86">
        <v>2024</v>
      </c>
      <c r="E86" s="1" t="s">
        <v>16</v>
      </c>
      <c r="F86" s="4">
        <v>9133214000</v>
      </c>
      <c r="G86" s="1" t="s">
        <v>29</v>
      </c>
      <c r="H86" s="2">
        <v>45657</v>
      </c>
      <c r="I86" s="2">
        <v>46080</v>
      </c>
      <c r="J86" s="1" t="s">
        <v>50</v>
      </c>
      <c r="K86">
        <v>2025</v>
      </c>
    </row>
    <row r="87" spans="1:11" x14ac:dyDescent="0.25">
      <c r="A87" s="1" t="s">
        <v>48</v>
      </c>
      <c r="B87">
        <v>801337</v>
      </c>
      <c r="C87" s="1" t="s">
        <v>49</v>
      </c>
      <c r="D87">
        <v>2025</v>
      </c>
      <c r="E87" s="1" t="s">
        <v>16</v>
      </c>
      <c r="F87" s="4">
        <v>9492236000</v>
      </c>
      <c r="G87" s="1" t="s">
        <v>29</v>
      </c>
      <c r="H87" s="2">
        <v>46022</v>
      </c>
      <c r="I87" s="2">
        <v>46080</v>
      </c>
      <c r="J87" s="1" t="s">
        <v>50</v>
      </c>
      <c r="K87">
        <v>2025</v>
      </c>
    </row>
    <row r="88" spans="1:11" x14ac:dyDescent="0.25">
      <c r="A88" s="1" t="s">
        <v>48</v>
      </c>
      <c r="B88">
        <v>801337</v>
      </c>
      <c r="C88" s="1" t="s">
        <v>49</v>
      </c>
      <c r="D88">
        <v>2024</v>
      </c>
      <c r="E88" s="1" t="s">
        <v>18</v>
      </c>
      <c r="F88" s="4">
        <v>768707000</v>
      </c>
      <c r="G88" s="1" t="s">
        <v>19</v>
      </c>
      <c r="H88" s="2">
        <v>45657</v>
      </c>
      <c r="I88" s="2">
        <v>46080</v>
      </c>
      <c r="J88" s="1" t="s">
        <v>50</v>
      </c>
      <c r="K88">
        <v>2025</v>
      </c>
    </row>
    <row r="89" spans="1:11" x14ac:dyDescent="0.25">
      <c r="A89" s="1" t="s">
        <v>48</v>
      </c>
      <c r="B89">
        <v>801337</v>
      </c>
      <c r="C89" s="1" t="s">
        <v>49</v>
      </c>
      <c r="D89">
        <v>2025</v>
      </c>
      <c r="E89" s="1" t="s">
        <v>18</v>
      </c>
      <c r="F89" s="4">
        <v>1002802000</v>
      </c>
      <c r="G89" s="1" t="s">
        <v>19</v>
      </c>
      <c r="H89" s="2">
        <v>46022</v>
      </c>
      <c r="I89" s="2">
        <v>46080</v>
      </c>
      <c r="J89" s="1" t="s">
        <v>50</v>
      </c>
      <c r="K89">
        <v>2025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49F115-B0B6-42BC-964D-7E6407AD9D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Scorecard</vt:lpstr>
      <vt:lpstr>bank_financials_wide_full</vt:lpstr>
      <vt:lpstr>bank_financials_long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Cellucci</dc:creator>
  <cp:lastModifiedBy>Robert Cellucci</cp:lastModifiedBy>
  <dcterms:created xsi:type="dcterms:W3CDTF">2026-08-05T20:33:22Z</dcterms:created>
  <dcterms:modified xsi:type="dcterms:W3CDTF">2026-08-05T22:18:13Z</dcterms:modified>
</cp:coreProperties>
</file>